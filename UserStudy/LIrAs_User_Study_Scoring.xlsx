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mc:AlternateContent xmlns:mc="http://schemas.openxmlformats.org/markup-compatibility/2006">
    <mc:Choice Requires="x15">
      <x15ac:absPath xmlns:x15ac="http://schemas.microsoft.com/office/spreadsheetml/2010/11/ac" url="/Users/alberto_tagliaferro/Downloads/"/>
    </mc:Choice>
  </mc:AlternateContent>
  <xr:revisionPtr revIDLastSave="0" documentId="13_ncr:1_{5BF1A6B2-78E1-0444-A6ED-F8EEAE63431D}" xr6:coauthVersionLast="47" xr6:coauthVersionMax="47" xr10:uidLastSave="{00000000-0000-0000-0000-000000000000}"/>
  <bookViews>
    <workbookView xWindow="0" yWindow="680" windowWidth="34200" windowHeight="19820" activeTab="7" xr2:uid="{00000000-000D-0000-FFFF-FFFF00000000}"/>
  </bookViews>
  <sheets>
    <sheet name="README" sheetId="1" r:id="rId1"/>
    <sheet name="Rubrics" sheetId="2" r:id="rId2"/>
    <sheet name="Participant Map" sheetId="3" r:id="rId3"/>
    <sheet name="Auto Scores" sheetId="4" r:id="rId4"/>
    <sheet name="T2 Scoring" sheetId="5" r:id="rId5"/>
    <sheet name="T3B Scoring" sheetId="6" r:id="rId6"/>
    <sheet name="T4.1 Scoring" sheetId="7" r:id="rId7"/>
    <sheet name="T4.2 Scoring" sheetId="8" r:id="rId8"/>
    <sheet name="Background &amp; Feedback"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7" i="8" l="1"/>
  <c r="H29" i="8"/>
  <c r="H28" i="8"/>
  <c r="H27" i="8"/>
  <c r="H26" i="8"/>
  <c r="H25" i="8"/>
  <c r="H24" i="8"/>
  <c r="H23" i="8"/>
  <c r="H22" i="8"/>
  <c r="H21" i="8"/>
  <c r="H20" i="8"/>
  <c r="H19" i="8"/>
  <c r="H18" i="8"/>
  <c r="H16" i="8"/>
  <c r="H15" i="8"/>
  <c r="H14" i="8"/>
  <c r="H13" i="8"/>
  <c r="H12" i="8"/>
  <c r="H11" i="8"/>
  <c r="H10" i="8"/>
  <c r="I30" i="7"/>
  <c r="I29" i="7"/>
  <c r="I28" i="7"/>
  <c r="I27" i="7"/>
  <c r="I26" i="7"/>
  <c r="I25" i="7"/>
  <c r="I24" i="7"/>
  <c r="I23" i="7"/>
  <c r="I22" i="7"/>
  <c r="I21" i="7"/>
  <c r="I20" i="7"/>
  <c r="I19" i="7"/>
  <c r="I18" i="7"/>
  <c r="I17" i="7"/>
  <c r="I16" i="7"/>
  <c r="I15" i="7"/>
  <c r="I14" i="7"/>
  <c r="I13" i="7"/>
  <c r="I12" i="7"/>
  <c r="I11" i="7"/>
  <c r="G28" i="6"/>
  <c r="G27" i="6"/>
  <c r="G26" i="6"/>
  <c r="G25" i="6"/>
  <c r="G24" i="6"/>
  <c r="G23" i="6"/>
  <c r="G22" i="6"/>
  <c r="G21" i="6"/>
  <c r="G20" i="6"/>
  <c r="G19" i="6"/>
  <c r="G18" i="6"/>
  <c r="G17" i="6"/>
  <c r="G16" i="6"/>
  <c r="G15" i="6"/>
  <c r="G14" i="6"/>
  <c r="G13" i="6"/>
  <c r="G12" i="6"/>
  <c r="G11" i="6"/>
  <c r="G10" i="6"/>
  <c r="G9" i="6"/>
  <c r="H29" i="5"/>
  <c r="H28" i="5"/>
  <c r="H27" i="5"/>
  <c r="H26" i="5"/>
  <c r="H25" i="5"/>
  <c r="H24" i="5"/>
  <c r="H23" i="5"/>
  <c r="H22" i="5"/>
  <c r="H21" i="5"/>
  <c r="H20" i="5"/>
  <c r="H19" i="5"/>
  <c r="H18" i="5"/>
  <c r="H17" i="5"/>
  <c r="H16" i="5"/>
  <c r="H15" i="5"/>
  <c r="H14" i="5"/>
  <c r="H13" i="5"/>
  <c r="H12" i="5"/>
  <c r="H11" i="5"/>
  <c r="H10" i="5"/>
  <c r="O21" i="4"/>
  <c r="J21" i="4"/>
  <c r="O20" i="4"/>
  <c r="J20" i="4"/>
  <c r="O19" i="4"/>
  <c r="J19" i="4"/>
  <c r="O18" i="4"/>
  <c r="J18" i="4"/>
  <c r="O17" i="4"/>
  <c r="J17" i="4"/>
  <c r="O16" i="4"/>
  <c r="J16" i="4"/>
  <c r="O15" i="4"/>
  <c r="J15" i="4"/>
  <c r="O14" i="4"/>
  <c r="J14" i="4"/>
  <c r="O13" i="4"/>
  <c r="J13" i="4"/>
  <c r="O12" i="4"/>
  <c r="J12" i="4"/>
  <c r="O11" i="4"/>
  <c r="J11" i="4"/>
  <c r="O10" i="4"/>
  <c r="J10" i="4"/>
  <c r="O9" i="4"/>
  <c r="J9" i="4"/>
  <c r="O8" i="4"/>
  <c r="J8" i="4"/>
  <c r="O7" i="4"/>
  <c r="J7" i="4"/>
  <c r="O6" i="4"/>
  <c r="J6" i="4"/>
  <c r="O5" i="4"/>
  <c r="J5" i="4"/>
  <c r="O4" i="4"/>
  <c r="J4" i="4"/>
  <c r="O3" i="4"/>
  <c r="J3" i="4"/>
  <c r="O2" i="4"/>
  <c r="J2" i="4"/>
</calcChain>
</file>

<file path=xl/sharedStrings.xml><?xml version="1.0" encoding="utf-8"?>
<sst xmlns="http://schemas.openxmlformats.org/spreadsheetml/2006/main" count="1093" uniqueCount="280">
  <si>
    <t>LIrAs User Study - Scoring Workbook</t>
  </si>
  <si>
    <t>Purpose</t>
  </si>
  <si>
    <t>Manual and automatic scoring of the two response cohorts before statistical analysis.</t>
  </si>
  <si>
    <t>Raw data</t>
  </si>
  <si>
    <t>The original uploaded workbooks are not modified. This file contains only the responses needed for scoring.</t>
  </si>
  <si>
    <t>Blind scoring</t>
  </si>
  <si>
    <t>Manual-scoring sheets use randomized Blind IDs and do not show cohort. Avoid consulting Participant Map until the first scoring pass is complete.</t>
  </si>
  <si>
    <t>Automatic scoring</t>
  </si>
  <si>
    <t>Task 1 and Task 3A criterion scores were generated deterministically from the exported responses. Totals are spreadsheet formulas.</t>
  </si>
  <si>
    <t>Manual scoring</t>
  </si>
  <si>
    <t>For T2, T3B, T4.1, and T4.2, enter 0 or 0.5 for each criterion. Totals are calculated automatically.</t>
  </si>
  <si>
    <t>Background &amp; feedback</t>
  </si>
  <si>
    <t>Consolidated background and final-feedback variables for all 20 participants, aligned to Blind ID. Prolific IDs are intentionally excluded; cohort is retained for later subgroup analysis.</t>
  </si>
  <si>
    <t>Suggested workflow</t>
  </si>
  <si>
    <t>1) Score all manual sheets blind. 2) Mark uncertain cases in Notes. 3) Resolve flagged cases consistently. 4) Only then use Participant Map to reattach cohort labels.</t>
  </si>
  <si>
    <t>Ground Truth and Manual Rubrics</t>
  </si>
  <si>
    <t>ID</t>
  </si>
  <si>
    <t>Ground truth</t>
  </si>
  <si>
    <t>Max score</t>
  </si>
  <si>
    <t>T1.1</t>
  </si>
  <si>
    <t>The "Rover" may start "scan row1" without waiting for the "Agronomist" at the boundary between sub-sequences 1 and 2.</t>
  </si>
  <si>
    <t>T1.2</t>
  </si>
  <si>
    <t>The Rover’s scanning action terminates early, but the "Rover" waits at the end of sub-sequence 2 until the "Agronomist" completes the continuation.</t>
  </si>
  <si>
    <t>T1.3</t>
  </si>
  <si>
    <t>The "Rover" lights row1 until the inspection ends; the "Agronomist" inspects only while the row is illuminated.</t>
  </si>
  <si>
    <t>T1.4</t>
  </si>
  <si>
    <t>Only the "Rover" restarts sub-sequence 2.</t>
  </si>
  <si>
    <t>T3A1</t>
  </si>
  <si>
    <t>The "Drone" continuation should extend through sub-sequence 3.</t>
  </si>
  <si>
    <t>T3A2</t>
  </si>
  <si>
    <t>"skip if obstacleDetected" should appear before "assistPlace package".</t>
  </si>
  <si>
    <t>T3A3</t>
  </si>
  <si>
    <t>"restart" should test "assistanceFailed" instead of "assistanceSuccessful".</t>
  </si>
  <si>
    <t>T2 rubric</t>
  </si>
  <si>
    <t>Criterion</t>
  </si>
  <si>
    <t>Description</t>
  </si>
  <si>
    <t>Max</t>
  </si>
  <si>
    <t>C1</t>
  </si>
  <si>
    <t>Robot moves to the kitchen, loads mealTray, and then moves to table1.</t>
  </si>
  <si>
    <t>C2</t>
  </si>
  <si>
    <t>Waiter moves to and prepares table1 while the Robot performs its first two sub-sequences.</t>
  </si>
  <si>
    <t>C3</t>
  </si>
  <si>
    <t>No intermediate synchronization between sub-sequences 1 and 2 because of the Waiter continuation.</t>
  </si>
  <si>
    <t>C4</t>
  </si>
  <si>
    <t>Robot and Waiter synchronize before sub-sequence 3.</t>
  </si>
  <si>
    <t>C5</t>
  </si>
  <si>
    <t>Robot waits while the tray is not served and moves back to the kitchen once trayServed(mealTray) becomes true.</t>
  </si>
  <si>
    <t>T3B rubric</t>
  </si>
  <si>
    <t>Changes Drone continuation from 1-2 to 1-3.</t>
  </si>
  <si>
    <t>Places skip if obstacleDetected before assistPlace package.</t>
  </si>
  <si>
    <t>Uses restart if assistanceFailed.</t>
  </si>
  <si>
    <t>Does not introduce additional semantic errors in the otherwise correct specification.</t>
  </si>
  <si>
    <t>T3B reference solution</t>
  </si>
  <si>
    <t>Collaborative_Package_Placement
agents:
    robots: Robot
    drones: Drone
locations: storageArea, loadingBay
resources: package
Robot:
    1: moveTo storageArea
    2: pick package
    3: moveTo loadingBay
    4: place package
Drone:
    1-3: takeOff
         moveTo loadingBay
         inspect loadingBay until placementAreaClear(loadingBay)
    4: hover Robot
       skip if obstacleDetected
       assistPlace package
       restart if assistanceFailed
failure emergencyStopActive</t>
  </si>
  <si>
    <t>T4.1 rubric</t>
  </si>
  <si>
    <t>Correctly declares Human, Robot, bedroom, kitchen, and object.</t>
  </si>
  <si>
    <t>Human and Robot start moveTo bedroom in the same sub-sequence.</t>
  </si>
  <si>
    <t>pick object occurs only after both agents have reached the bedroom.</t>
  </si>
  <si>
    <t>No action is required from the Human during the pickup phase.</t>
  </si>
  <si>
    <t>moveTo kitchen and follow Human (kitchen) belong to the same subsequent phase.</t>
  </si>
  <si>
    <t>C6</t>
  </si>
  <si>
    <t>Includes failure emergencyStopActive.</t>
  </si>
  <si>
    <t>T4.1 reference solution</t>
  </si>
  <si>
    <t>Guided_Object_Transport
agents:
    humans: Human
    robots: Robot
locations: bedroom, kitchen
resources: object
Human:
    1: moveTo bedroom
    3: moveTo kitchen
Robot:
    1: moveTo bedroom
    2: pick object
    3: follow Human (kitchen)
failure emergencyStopActive</t>
  </si>
  <si>
    <t>T4.2 rubric</t>
  </si>
  <si>
    <t>Correctly declares Robot, Operator, storageArea, chargingStation, and chargingCable.</t>
  </si>
  <si>
    <t>Robot moves to the charging station and then scans in two distinct sub-sequences.</t>
  </si>
  <si>
    <t>Operator uses a continuation over the Robot's movement/scanning phase.</t>
  </si>
  <si>
    <t>Robot uses scanChargingPort until portLocated.</t>
  </si>
  <si>
    <t>openPortCover occurs after Robot and Operator have synchronized.</t>
  </si>
  <si>
    <t>holdPortCover and connect chargingCable are placed in the same final sub-sequence.</t>
  </si>
  <si>
    <t>T4.2 reference solution</t>
  </si>
  <si>
    <t>EV_Charging_Assistance
agents:
    robots: Robot
    humans: Operator
locations: storageArea, chargingStation
resources: chargingCable
Robot:
    1: moveTo chargingStation
    2: scanChargingPort until portLocated
    3: openPortCover
    4: holdPortCover
Operator:
    1-2: moveTo storageArea
         collect chargingCable
         moveTo chargingStation
    4: connect chargingCable</t>
  </si>
  <si>
    <t>Blind ID</t>
  </si>
  <si>
    <t>Cohort</t>
  </si>
  <si>
    <t>Source workbook</t>
  </si>
  <si>
    <t>Source row</t>
  </si>
  <si>
    <t>S001</t>
  </si>
  <si>
    <t>Known</t>
  </si>
  <si>
    <t>LIrAs User Study (Response).xlsx</t>
  </si>
  <si>
    <t>S002</t>
  </si>
  <si>
    <t>S003</t>
  </si>
  <si>
    <t>Prolific</t>
  </si>
  <si>
    <t>LIrAs User Study - Prolific (Risposte).xlsx</t>
  </si>
  <si>
    <t>S004</t>
  </si>
  <si>
    <t>S005</t>
  </si>
  <si>
    <t>S006</t>
  </si>
  <si>
    <t>S007</t>
  </si>
  <si>
    <t>S008</t>
  </si>
  <si>
    <t>S009</t>
  </si>
  <si>
    <t>S010</t>
  </si>
  <si>
    <t>S011</t>
  </si>
  <si>
    <t>S012</t>
  </si>
  <si>
    <t>S013</t>
  </si>
  <si>
    <t>S014</t>
  </si>
  <si>
    <t>S015</t>
  </si>
  <si>
    <t>S016</t>
  </si>
  <si>
    <t>S017</t>
  </si>
  <si>
    <t>S018</t>
  </si>
  <si>
    <t>S019</t>
  </si>
  <si>
    <t>S020</t>
  </si>
  <si>
    <t>T1.1 response</t>
  </si>
  <si>
    <t>T1.2 response</t>
  </si>
  <si>
    <t>T1.3 response</t>
  </si>
  <si>
    <t>T1.4 response</t>
  </si>
  <si>
    <t>T1 total</t>
  </si>
  <si>
    <t>T3A response</t>
  </si>
  <si>
    <t>Err 1</t>
  </si>
  <si>
    <t>Err 2</t>
  </si>
  <si>
    <t>Err 3</t>
  </si>
  <si>
    <t>T3A total</t>
  </si>
  <si>
    <t>The "Drone" continuation should extend through sub-sequence 3., "skip if obstacleDetected" should appear before "assistPlace package"., "restart" should test "assistanceFailed" instead of "assistanceSuccessful".</t>
  </si>
  <si>
    <t>The "Rover" completes the lighting first; the "Agronomist" then begins inspecting row1.</t>
  </si>
  <si>
    <t>Both agents restart their current execution.</t>
  </si>
  <si>
    <t>The "Robot" should also use a continuation over sub-sequences 1–3., "skip if obstacleDetected" should appear before "assistPlace package"., "restart" should test "assistanceFailed" instead of "assistanceSuccessful".</t>
  </si>
  <si>
    <t>The "Robot" should also use a continuation over sub-sequences 1–3., The "Drone" continuation should extend through sub-sequence 3., "restart" should test "assistanceFailed" instead of "assistanceSuccessful".</t>
  </si>
  <si>
    <t>The "Rover" must wait until the "Agronomist" has completed both "collect sensorKit" and "moveTo Row1".</t>
  </si>
  <si>
    <t>T2 Manual Scoring</t>
  </si>
  <si>
    <t>Response</t>
  </si>
  <si>
    <t>Total</t>
  </si>
  <si>
    <t>Notes</t>
  </si>
  <si>
    <t>While the robot goes to the kitchen, loads the meal tray and goes to table 1, the waiter goes to table 1 and prepares it.
Once that is done the waiter serves the meal tray and only then (because of the check on trayServed) the robot moves to the kitchen</t>
  </si>
  <si>
    <t>While the waiter prepare the table, the robot takes the meal tray and carries it to the table. Here they synchronize, the waiter takes the tray and serve it while the robot waits, when the meal is served the robot returns to the kitchen</t>
  </si>
  <si>
    <t>Basically The waiter would be pereparing the table and Robot will sync with the waiter and in collaboration they will execute 1-2. Then Waiter will serve the mealTray and robot will move to the kitchen</t>
  </si>
  <si>
    <t>The robot and waiter each execute actions 1 and 2 independently of each other, synchronizing after 2: if robot has moved to the table it waits for waiter to prepare it, and viceversa. The waiter then serves the tray while the robot waits. After the waiter is finished, the robot moves to the kitchen.</t>
  </si>
  <si>
    <t>Both robot and waiter starts their tasks in parallel. Robot stay at table until waiter serve meal. Then robot moves back to kitchen</t>
  </si>
  <si>
    <t>The robot first moves to the kitchen and loads the meal tray. In the meantime, the waiter moves to table1 and prepares it. If the waiter is still preparing the table, the robot must wait. The robot stops the sequence if the meal tray is not served by the waiter.</t>
  </si>
  <si>
    <t>Robot moves to kitchen, picks up the meal and moves to table 1. At the same time, Waiter moves to table 1 and prepare it. They are independent. At sub sequence 3, robot and waiter are at table 1: waiter serves the meal, while robot stays still. When the meal is served, robot moves to kitchen.</t>
  </si>
  <si>
    <t>Both Robot and Waiter will complete sub-sequences 1 and 2 without waiting for each other. While Waiter is doing sub-sequence 3, Robot will stop its sub-sequence 3. Once Waiter completes its sub-sequence 3, Robot will continue its sub-sequence 3.</t>
  </si>
  <si>
    <t>At the same time the robot starts moving to kitchen and the waiter to table1. Without another synchronization,  the robot reaches the kitchen, loads mealTray and moves to table1, while the waiter reaches table 1 and prepares it. The first to complete these tasks waits for the other and they synchronize again before starting sequence 3.</t>
  </si>
  <si>
    <t>The Robot first goes to the kitchen and loads the meal tray, while the Waiter moves to table1 and gets it prepared. Then they sync at sub-sequence 3, where the Waiter serves the tray and the Robot waits at table1 until the tray has been served, after which it goes back to the kitchen. Once both finish their actions, the pattern ends.</t>
  </si>
  <si>
    <t>While the robot is moving to the kitchen, loading the meal try and then moving to the table, the waiter moves to the table and prepares it.
When the robot serves the tray on the table, he moves back to the kitchen; otherwise, he stops at the table. Meanwhile, the waiter serves the meal from the tray.</t>
  </si>
  <si>
    <t>Robot goes to the kicthen to pickup the meal tray while the waiter heads straight to table 1 to get ready for service. they meet up and sync at table 1, where the waiter serves from the meal tray. at this same time, Robot holds its position and stops --w aits until the tray is fullly served before it goes back to the kitchen</t>
  </si>
  <si>
    <t>The robot go to the kitchen, takes a meal tray and delivers it to table1, coordinating with the waiter who arrives there to prepare the table for service. Upon arrival, the robot holds its position until waiter completes serving all items from the tray, which trigger the 'MealTray' condition to become True. Once this serving action finishes, the robot break its waiting status and travels back to the kitchen.</t>
  </si>
  <si>
    <t>The robot picks up the meal tray from the kitchen and brings it to table 1 while the waiter moves to table 1 and prepares it. At this point, the waiter serves the meal tray. After that, the robot moves back to kitchen.</t>
  </si>
  <si>
    <t>The Robot and Waiter work in parallel. The Waiter use a 1-2 continuation to move to table 1 and prepare it so there is no sychronization at the 1/2 boundary but both the agents must sychronize at the end of sub-sequences 2 before entering 3. In sub-sequences 3 waiter serves the mealTray while the Robot waits at table1 and the robot only returns to the kitchen if trayServed becomes true otherwise it terminates with stop at table1</t>
  </si>
  <si>
    <t>The waiter goes to Table1 and prepares it.  While it's doing this, the robot moves to the kitchen, loads a meal tray, and then takes it to table 1.   Once both of these are complete, the waiter serves the meal while the robot waits for the waiter to serve the meal.  After the meal's served, the moves back to the kitchen</t>
  </si>
  <si>
    <t>While the waiter moves and prepare table 1, the robot enters the kitchen, load the meal Tray and subsequently reaches table1.
The two agents synchronize before starting each own subsequence 3: the robot will stay at the table until the waiter has emptied the tray, the waiter empties the tray, the robot will go back to the kitchen once the tray is empty</t>
  </si>
  <si>
    <t>While the Waiter moves to the table and prepares it the Robot goes into the kitchen, loads the tray and goes to the table (these two sets of actions are independent). Once both agents are at the table the Robot waits for the Waiter to finish serving the tray and then goes back to the kitchen.</t>
  </si>
  <si>
    <t>The Robot heads to the kitchen to pick up the meal tray and bring it to the table, while at the same time the Waiter moves to the table and gets it ready for service. They coordinate so that both finish their respective tasks before moving on to sub sequence 3, where the Waiter serves the meal and the Robot waits at the table until serving is done. Once the tray is fully served, the Robot heads back to the kitchen, wrapping up the whole pattern.</t>
  </si>
  <si>
    <t>While the robot goes to the kitchen,loads the meal and goes to the table, the waiter moves to the table and prepares it. Then if the server has served the meal, the robot moves to the kitchen</t>
  </si>
  <si>
    <t>T3B Manual Scoring</t>
  </si>
  <si>
    <t>*****************************************
Collaborative_Package_Placement
agents:
   robots: Robot
   drones: Drone
locations: storageArea, loadingBay
resources: package
Robot:
   1: moveTo storageArea
   2: pick package
   3: moveTo loadingBay
   4: place package
Drone:
   1-3: takeOff
          moveTo loadingBay
          inspect loadingBay until placementAreaClear(loadingBay)
   4: hover Robot
       skip if obstacleDetected
       assistPlace package
       restart if assistanceFailed
failure emergencyStopActive
*****************************************</t>
  </si>
  <si>
    <t>agents:
   robots: Robot
   drones: Drone
locations: storageArea, loadingBay
resources: package
Robot:
   1-3 moveTo storageArea
         pick package
         moveTo loadingBay
   4: place package
Drone:
   1-3: takeOff
          moveTo loadingBay
          inspect loadingBay until placementAreaClear(loadingBay)
   4: hover Robot
       skip if obstacleDetected
       assistPlace package
       restart if assistanceFailed
failure emergencyStopActive</t>
  </si>
  <si>
    <t>Collaborative_Package_Placement
agents:
   robots: Robot
   drones: Drone
locations: storageArea, loadingBay
resources: package
Robot:
   1-3: moveTo storageArea
           pick package
           moveTo loadingBay
   4: place package
Drone:
   1-3: takeOff
          moveTo loadingBay
          inspect loadingBay until placementAreaClear(loadingBay)
   4: hover Robot
       assistPlace package
       skip if obstacleDetected
       restart if assistanceFailed
failure emergencyStopActive</t>
  </si>
  <si>
    <t>Collaborative_Package_Placement
agents:
   robots: Robot
   drones: Drone
locations: storageArea, loadingBay
resources: package
Robot:
   1-2-3 moveTo storageArea
             pick package
             moveTo loadingBay
   4: place package
Drone:
   1-2: takeOff
          moveTo loadingBay
          inspect loadingBay until placementAreaClear(loadingBay)
   4: hover Robot
       skip if obstacleDetected
       assistPlace package
       restart if assistanceFailed
failure emergencyStopActive</t>
  </si>
  <si>
    <t>Collaborative_Package_Placement
agents:
   robots: Robot
   drones: Drone
locations: storageArea, loadingBay
resources: package
Robot:
   1: moveTo storageArea
   2: pick package
   3: moveTo loadingBay
   4: place package
Drone:
   1-3: takeOff
        moveTo loadingBay
        inspect loadingBay until placementAreaClear(loadingBay)
   4: hover Robot
      skip if obstacleDetected
      assistPlace package
      restart if assistanceFailed
failure emergencyStopActive</t>
  </si>
  <si>
    <t>Collaborative_Package_Placement
agents:
   robots: Robot
   drones: Drone
locations: storageArea, loadingBay
resources: package
Robot:
   1-2-3: moveTo storageArea
              pick package
              moveTo loadingBay
   4: place package
Drone:
   1-2: takeOff
          moveTo loadingBay
          inspect loadingBay until placementAreaClear(loadingBay)
   4: hover Robot
       skip if obstacleDetected
       assistPlace package       
       restart if assistanceFailed
failure emergencyStopActive</t>
  </si>
  <si>
    <t>Collaborative_Package_Placement
agents:
   robots: Robot
   drones: Drone
locations: storageArea, loadingBay
resources: package
Robot:
   1: moveTo storageArea
   2: pick package
   3: moveTo loadingBay
   4: place package
Drone:
   1-3: takeOff
          moveTo loadingBay
          inspect loadingBay until placementAreaClear(loadingBay)
   4: hover Robot
       skip if obstacleDetected
       assistPlace package
restart if assistanceFailed
failure emergencyStopActive</t>
  </si>
  <si>
    <t>Collaborative_Package_Placement
agents:
   robots: Robot
   drones: Drone
locations: storageArea, loadingBay
resources: package
Robot:
   1: moveTo storageArea
   2: pick package
   3: moveTo loadingBay
   4: place package
Drone:
   1-3: takeOff
          moveTo loadingBay
          inspect loadingBay until placementAreaClear(loadingBay)
   4: hover Robot
       skip if obstacleDetected
       assistPlace package
       restart if assistanceFailed
failure emergencyStopActive</t>
  </si>
  <si>
    <t>Collaborative_Package_Placement
agents:
    robots: Robot
    drones: Drone
locations: storageArea, loadingBay
resources: package
Robot:
    1: moveTo storageArea
    2: pick package
    3: moveTo loadingBay
    4: place package
Drone:
    1-3: takeOff
        moveTo loadingBay
        inspect loadingBay until placementAreaClear(loadingBay)
    4: hover Robot
        skip if obstacleDetected
        assistPlace package
        restart if assistanceFailed
failure emergencyStopActive</t>
  </si>
  <si>
    <t>Robot:
   1: moveTo storageArea
   2: pick package
   3: moveTo loadingBay
   4: place package
Drone:
   1-3: takeOff
          moveTo loadingBay
          inspect loadingBay until placementAreaClear(loadingBay)
   4: hover Robot
       skip if obstacleDetected
       assistPlace package
       restart if assistanceFailed
failure emergencyStopActive</t>
  </si>
  <si>
    <t>Collaborative_Package_Placement
agents:
robots: Robot
drones: Drone
locations: storageArea, loadingBay
resources: package
Robot:
1: moveTo storageArea
2: pick package
3: moveTo loadingBay
4: place package
Drone:
1-3: takeOff
moveTo loadingBay
inspect loadingBay until placementAreaClear(loadingBay)
4: hover Robot
skip if obstcalDetected
assistPlace package
restrt if assistanceFailed
failure emergencyStopActive</t>
  </si>
  <si>
    <t>Collaboration_Package_Placement
agents: 
robots:Robot
drones:Drone.locationd:storageArea, loadingBay
resources:package
Robot:
1.MoveTo storageArea
2.Pick package
3.moveTo loadingBay
4.place package 
Drone
1-3:takeOff
moveTo loadingBay
inspect loadingBay until placementAreaClear
4:hover Robot 
skip if obstacleDetected
assistedPlace package
restart if assistanceFailed 
failure emergencyStopActive</t>
  </si>
  <si>
    <t>Collaborative_Package_Placement
agents:
   robots: Robot
   drones: Drone
locations: storageArea, loadingBay
resources: package
Robot:
   1: moveTo storageArea
   2: pick package
   3: moveTo loadingBay
   4: place package
Drone:
   1-3: takeOff
          moveTo loadingBay
          inspect loadingBay until placementAreaClear(loadingBay)
   4: hover Robot
       assistPlace package
       skip if obstacleDetected
       restart if assistanceFailed
failure emergencyStopActive</t>
  </si>
  <si>
    <t>Collaborative_Package_Placement
agents:
   robots: Robot
   drones: Drone
locations: storageArea, loadingBay
resources: package
Robot:
   1: moveTo storageArea
   2: pick package
   3: moveTo loadingBay
   4: place package
Drone:
   1-3: takeOff
          moveTo loadingBay
          inspect loadingBay until placementAreaClear(loadingBay)
   4: hover Robot
skip if obstacleDetected
       assistPlace package
       restart if assistanceFailed
failure emergencyStopActive</t>
  </si>
  <si>
    <t>Robot:
1 moveTo storageArea
2 pick package
3 moveTo loadingBay
4 place package
Drone:
1-3 takeOff
      moveTo loadingBay
      inspect loadingBay until placementAreaClear(loadingBay)
4 hover Robot
  skip if obstacleDetected
  restart if assistanceFailed</t>
  </si>
  <si>
    <t>T4.1 Manual Scoring</t>
  </si>
  <si>
    <t>*****************************************
Guided_Object_Transport
agents:
   robots: Robot
   humans: Human
locations: bedroom, kitchen
resources: object
Robot:
   1: moveTo bedroom
   2: pick object
   3: follow Human (kitchen)
Human:
   1: moveTo bedroom
   3: moveTo kitchen
failure emergencyStopActive
*****************************************</t>
  </si>
  <si>
    <t>*****************************************
Guided_Object_Transport
agents:
   robots: Robot
   humans: Human
locations: bedroom, kitchen
resources: object
Robot:
   1: moveTo bedroom
   2: pick object
   3: follow human (kitchen)
Human:
   1: moveTo bedroom
   3: moveTo kitchen
failure emergencyStopActive
*****************************************</t>
  </si>
  <si>
    <t>*********************************
Guided_Object_Transport
agent type: "Human"
agent type: "Robot"
location: "bedroom"
location: "kitchen"
resource: "object"
emergencyStopActive
----
Human
1-2  moveTo(bedroom)
Robot
1-2. moveTo(bedroom)
    pick object
3. moveTo(kitchen)
if emergencyStopActive then stop
*********************************</t>
  </si>
  <si>
    <t>agents:
   robots: Robot
   humans: Human
locations: bedroom, kitchen
resources: object
Robot:
   1: moveTo bedroom
   2: pick object
   3: follow Human (kitchen)
Human:
   1: moveTo bedroom
   3: moveTo kitchen
failure emergencyStopActive</t>
  </si>
  <si>
    <t>*****************************************
agents:
    robots: Robot
    humans: Human
locations: bedroom, kitchen
resources: object
Robot:
    1: moveTo bedroom
    2: pick object
    4: follow human
Human:
    1: moveTo bedroom
    3: moveTo kitchen
failure emergencyStopActive
*****************************************</t>
  </si>
  <si>
    <t>Guided_Object_Transport
agents:
   humans: Human
   robots: Robot
locations: bedroom, kitchen
resources: object
Human:
   1: moveTo bedroom
   3: moveTo kitchen
Robot:
   1: moveTo bedroom
   2: pick object
   3: follow Human (kitchen)
failure emergencyStopActive</t>
  </si>
  <si>
    <t>Guided_Object_Transport
agents:
   humans: Human
   robots: Robot
locations: bedroom, kitchen
resources: object
Human:
   1: moveTo bedroom   
   3: moveTo kitchen
Robot:
   1: moveTo bedroom
   2: pick object
   3: follow Human (kitchen)
failure emergencyStopActive</t>
  </si>
  <si>
    <t>Guided_Object_Transport
agents:
    mobile_robots: Robot
    humans: Human
locations: bedroon, kitchen
resources: object</t>
  </si>
  <si>
    <t>Guided_Object_Transport
agents:
   robots: Robot
   humans: Human
locations: bedroom, kitchen
resources: object
Robot:
   1: moveTo bedroom
   2: pick object
   3: follow Human(kitchen)
Human:
   1: moveTo bedroom
   2: 
   3: moveTo kitchen
failure emergencyStopActive</t>
  </si>
  <si>
    <t>Guided_Object_Transport
agents:
    humans: Human
    robots: Robot
locations: bedroom, kitchen
resources: object
Human:
    1: moveTo bedroom
    2:
    3: moveTo kitchen
Robot:
    1: moveTo bedroom
    2: pick object
    3: follow Human kitchen
failure emergencyStopActive</t>
  </si>
  <si>
    <t>*****************************************
Guided_Object_Transport
agents:
  humans: Human
  robots: Robot
locations: bedroom, kitchen
resources: object
Human:
  1. moveTo bedroom
  3. moveTo kitchen
Robot:
  1. moveTo bedroom  
  2. pick object
  3. follow Human(kitchen)
failure emergencyStopActive
*****************************************</t>
  </si>
  <si>
    <t>Guided_Object_Transport
agents:
humans: Human
robots: Robot
locations: bedroom, kitchen
resources: object
Human:
1: moveTo bedroom
2: moveTo kitchen
Robot:
1: moveTo bedroom
2: pick object
3: follow Human (kitchen)
failure emergencyStopActive</t>
  </si>
  <si>
    <t>Guided_Object_Transport
agent:
     humans: Human
     robots: Robot
location: bedroom, kitchen
resource: object
Human:
     1: moveTo bedroom
     3: moveTo kitchen 
Robot:
     1: moveTo bedroom
     2: pick object
     3: follow Human kitchen
failure emergencyStopActive</t>
  </si>
  <si>
    <t>Guided_Object_Transport
agents:
   robots: Robot
   humans: Human
locations: bedroom, kitchen
resources: object
Robot:
   1: moveTo bedroom
   2: pick object
   3: follow Human (kitchen)
Human:
   1: moveTo bedroom
   3: moveTo kitchen
failure emergencyStopActive</t>
  </si>
  <si>
    <t>Guided_Object_Transport
agents:
humans:  Human
robots:   Robot
locations:  bedroom, kitchen
resources : object
Human:
1. moveTo bedroom
3. moveTo kitchen
Robot:
1. moveTo bedroom</t>
  </si>
  <si>
    <t>Guided_Object_Transport
agents:
     humans: Human
     robots: Robot
     locations: bedroom, kitchen
     resources: object
Robot:
    1:  moveTo bedroom
         pick Package
    2:  follow Human
Human:
    1: moveTo bedroom
    2: moveTo kitchen
failure emergencyStopActive</t>
  </si>
  <si>
    <t>Guided_Object_Transport
agents:
   robots: Robot
   humans: Human
locations: bedroom, kitchen
resources: object
Robot:
   1: moveTo bedroom
   2: pick object
   3: follow Human(kitchen)
Human:
   1: moveTo bedroom
   2:
   3: moveTo kitchen
failure emergencyStopActive</t>
  </si>
  <si>
    <t>Table_Service
agents:
    robots: Robot
    humans: Human
locations: bedroom, kitchen
resources: object
Robot:
    1: moveTo bedroom
    2: pick object
    3: follow Human kitchen
Waiter:
    1: moveTo bedroom
    3: moveTo kitchen
failure emergencyStopActive</t>
  </si>
  <si>
    <t>agents:
humans: Human
robots: Robot
locations: bedroom, kitchen
resources: object
human:
1: moveTo bedroom
3: moveTo kitchen
Robot:
1: moveTo bedroom
2: pick object
3: follow Human (kitchen)</t>
  </si>
  <si>
    <t>T4.2 Manual Scoring</t>
  </si>
  <si>
    <t>*****************************************
EV_Charging_Assistance
agents:
   robots: Robot
   humans: Operator
locations: storageArea, chargingStation
resources: chargingCable
Robot:
   1: moveTo chargingStation
   2: scanChargingPort until portLocated
   3: openPortCover
   4: holdPortCover
Operator:
   1-2: moveTo storageArea
      collect chargingCable
      moveTo chargingStation
   4: connect chargingCable
*****************************************</t>
  </si>
  <si>
    <t>*****************************************
Guided_Object_Transport
agents:
   robots: Robot
   humans: Operator
locations: storageArea, chargingStation
resources: chargingCable
Robot:
   1-3: moveTo chargingStation
           scanChargingPort until portLocated
   4: openPortCover
   5: holdPortCover
Operator:
   1: moveTo storageArea
   2: collect chargingCable
   3: moveTo chargingStation
   5: connect chargingCable
*****************************************</t>
  </si>
  <si>
    <t>Ran out of time</t>
  </si>
  <si>
    <t>agents:
   robots: Robot
   humans: Operator
locations: storageArea, chargingStation
resources: chargingCable
Robot:
   1: moveTo chargingStation
   2: scanChargingPort until portLocated
   3: openPortCover
   4: holdPortCover
Operator:
   1-2: moveTo storageArea
        collect chargingCable
        moveTo chargingStation
   4: connect chargingCable</t>
  </si>
  <si>
    <t>*****************************************
agents:
    robots: Robot
    humans: Operator
locations: storageArea, chargingStation
resources: chargingCable
Robot:
    1: moveTo chargingStation
    2: scanChargingPort until portLocated
    3: openPortCover
    4: holdPortCover
Operator:
    1-2: moveTo storageArea
       collect chargingCable
       moveTo chargingStation
    4: connect chargingCable
failure emergencyStopActive
*****************************************</t>
  </si>
  <si>
    <t>EV_Charging_Assistance
agents:
   robots: Robot
   humans: Operator
locations: storageArea, chargingStation
resources: chargingCable
Robot:
   1: moveTo chargingStation
   2: scanChargingPort until portLocated
   3: openPortCover
   4: holdPortCover
Operator:
   1-2: moveTo storageArea
        collect chargingCable
        moveTo chargingStation
   4: connect chargingCable</t>
  </si>
  <si>
    <t>EV_Charging_Assistance
agents:
   humans: Operator
   robots: Robot
locations: storageArea, chargingStation
resources: chargingCable
Operator:
   1: moveTo storageArea
       collect chargingCable
       moveTo chargingStation
   3: connect chargingCable
Robot:
   1: moveTo chargingStation
       scanChargingPort until portLocated
   2: openPortCover
   3: holdPortCover</t>
  </si>
  <si>
    <t>Guided_Object_Transport
agents:
    mobile_robots: Robot
    humans: Human
locations: bedroon, kitchen
resources: object
Robot:
    1: moveTo bedroon
       load object
    3: moveTo kitchen if system-wide emergency else stop
Waiter:
    1: moveTo bedroom
    2:  moveTo kitchen</t>
  </si>
  <si>
    <t>EV_Charging_Assistance
agents:
   robots: Robot
   humans: Operator
locations: storageArea, chargingStation
resources: chargingCable
Robot:
   1: moveTo chargingStation
   2: scanChargingPort until portLocated
   3: openPortCover
   4: holdPortCover
Operator:
   1-2: moveTo storageArea
          collect chargingCable
          moveTo chargingStation
   3: 
   4: connect chargingCable
failure emergencyStopActive</t>
  </si>
  <si>
    <t>V_Charging_Assistance
agents:
    robots: Robot
    humans: Operator
locations: storageArea, chargingStation
resources: chargingCable
Robot:
    1: moveTo chargingStation
    2: scanChargingPort until portLocated
    3: openPortCover
    4: holdPortCover
Operator:
    1-2: moveTo storageArea
        collect chargingCable
        moveTo chargingStation
    3:
    4: connect chargingCable</t>
  </si>
  <si>
    <t>*****************************************
EV_Charging_Assistance
agents:
   robots: Robot
   humans: Operator
locations: storageArea, chargingStation
resources: chargingCable
Robot:
  1. moveTo chargingStation
      scanChargingPort until portLocated
  2. openPortCover
  3. holdPortCover
Operator:
  1. moveTo storageArea
      collect chargingCable
      moveTo CharingStation
  3. connect chargingCable
*****************************************</t>
  </si>
  <si>
    <t>EV_Charging_Assistance
agents:
robots: Robot
humans: Operator
locations: storageArea, chargingStation
resources: chargingCable
Robot:
1: moveTo chargingStation
2: scanChargingPort until portLocated()
3: openPortCover
4: holdPortCover</t>
  </si>
  <si>
    <t>EV_Charging_Assistance
agents:
     robots: Robot
     humans: Operator
locations: storageArea, chargingStation
resources: chargingCable
Robot:
     1: moveTO chargingStation
     2: scanChargingPort until portLocated
     3: openPortCover
     4: holdPortCover
Operator:
     1-3: moveTo storageArea
            collect chargingCable
            moveTo chargingStation
     4: connect cargingCable</t>
  </si>
  <si>
    <t>EV_Charging_Assistance
agents:
   robots: Robot
   humans: Operator
locations: storageArea, chargingStation
resources: chargingCable
Robot:
   1-3: moveTo chargingStation
	    scanChargingPort until portLocated
   4: openPortCover
   5: holdPortCover
Operator:
   1: moveTo storageArea
   2: collect chargingCable
   3: moveTo chargingStation
   5: connect chargingCable</t>
  </si>
  <si>
    <t>Electric_Vehicle_Charging
agents:
  humans:  Operator 
  robots   Robots 
Locations:   storageArea,  chargingStation 
resources:  chargingCable 
Operator:
  1-2:  moveTo  storageArea
         collect chargingCable 
         moveTo chargingStation 
4:  connects  chargingCable
Robot:
1-2:  moveTo chargingStation
        scanChargingPort until chargingportlocated
3:  openPortCover
4:  holdPortCover
failure  emergencyStopActive</t>
  </si>
  <si>
    <t>EV_Charging_Assistance
agents:
    robots: Robot
    humans: Operator
    locations: storageArea, chargingStation
    resources: chargingCable
Robot:
   1:  moveTo chargingStation
        scanChargingPort until portLocated
   2:  openPortCover
   3:  holdPortCover 
Operator:
   1-2:   moveTo storageArea
         collect chargingCable
         moveTo chargingStation
   3:   connect chargingCable</t>
  </si>
  <si>
    <t>EV_Charging_Assistance
agents:
   robots: Robot
   humans: Operator
locations: storageArea, chargingStation
resources: chargingCable
Robot:
   1: moveTo chargingStation
   2: scanChargingPort until portLocated
   3: openPortCover
   4: holdPortCover
Human:
   1-2: moveTo storageArea
           collect chargingCable
           moveTo chargingStation
   3:
   4: connect chargingCable</t>
  </si>
  <si>
    <t>EV_Charging_Assistance
agents:
    robots: Robot
    humans: Operator
locations: chargingStation, storageArea
resources: chargingCable
Robot:
    1: moveTo chargingStation
    2: scanChargingPort until portLocated
    3: openPortCover
4: holdPortCover
Operator:
    1-2: moveTo storageArea
collect chargingCable
moveTo chargingStation
    4: connect chargingCable
failure emergencyStopActive</t>
  </si>
  <si>
    <t>EV_Charging_Assistance
agents:
   robots: Robot
   humans: Operator
locations: storageArea, chargingStation
resources: chargingCable
Robot:
   1: moveTo chargingStation
   2: scanChargingPort until portLocated
   3: openPortCover
   4: holdPortCover
Operator:
   1-2: moveTo storageArea
          collect chargingCable
          moveTo chargingStation
   4: connect chargingCable</t>
  </si>
  <si>
    <t>agents:
robots: Robot
humans: Operator
locations: storageArea, chargingStation
resources: chargingCable
Robot:
1: moveTo chargingStation
2: scanChargingPort until portLocated
3: openPortCover
4: holdPortCover
*Operator:*
1-2: moveTo storageArea
      collect chargingCable
3: moveTo chargingStation
4: connect chargingCable</t>
  </si>
  <si>
    <t>Timestamp</t>
  </si>
  <si>
    <t>Role</t>
  </si>
  <si>
    <t>Background area</t>
  </si>
  <si>
    <t>Programming experience</t>
  </si>
  <si>
    <t>Exp: Textual DSLs</t>
  </si>
  <si>
    <t>Exp: Modeling notations</t>
  </si>
  <si>
    <t>Exp: Uppaal/automata</t>
  </si>
  <si>
    <t>Exp: Formal methods</t>
  </si>
  <si>
    <t>Exp: Robotics/MAS/HRI</t>
  </si>
  <si>
    <t>LIrAs familiarity</t>
  </si>
  <si>
    <t>English technical reading</t>
  </si>
  <si>
    <t>Mental effort</t>
  </si>
  <si>
    <t>LIrAs: Syntax</t>
  </si>
  <si>
    <t>LIrAs: Scenario -&gt; specification</t>
  </si>
  <si>
    <t>LIrAs: Synchronization</t>
  </si>
  <si>
    <t>LIrAs: Continuations</t>
  </si>
  <si>
    <t>LIrAs: Conditional constructs</t>
  </si>
  <si>
    <t>LIrAs: Skip/restart</t>
  </si>
  <si>
    <t>LIrAs: Confidence</t>
  </si>
  <si>
    <t>Most difficult aspect</t>
  </si>
  <si>
    <t>Tutorial: Clarity</t>
  </si>
  <si>
    <t>Tutorial: Actions/predicates/parameters</t>
  </si>
  <si>
    <t>Tutorial: Examples</t>
  </si>
  <si>
    <t>Tutorial: Sufficient information</t>
  </si>
  <si>
    <t>Open feedback</t>
  </si>
  <si>
    <t>Industry practitioner</t>
  </si>
  <si>
    <t>Computer Science or Software Engineering</t>
  </si>
  <si>
    <t>More than 3</t>
  </si>
  <si>
    <t>Extensive</t>
  </si>
  <si>
    <t>Moderate</t>
  </si>
  <si>
    <t>None</t>
  </si>
  <si>
    <t>Basic</t>
  </si>
  <si>
    <t>I had heard of LIrAs but had not read documentation or used it.</t>
  </si>
  <si>
    <t>Proficient: Can understand virtually everything heard or read with ease</t>
  </si>
  <si>
    <t>Moderate — I needed sustained attention and occasionally had to reconsider some rules or examples.</t>
  </si>
  <si>
    <t>Agree</t>
  </si>
  <si>
    <t>Neither agree nor disagree</t>
  </si>
  <si>
    <t>Strongly agree</t>
  </si>
  <si>
    <t>Sub-sequences and synchronization</t>
  </si>
  <si>
    <t>I didn't like having to renumber and check every step of every agent when adding a new one in the middle of others, in more complex scenarios I imagine it being possibly error prone.
Maybe naming the steps could help, but I don't have a simple solution in mind.</t>
  </si>
  <si>
    <t>PhD student</t>
  </si>
  <si>
    <t>Limited</t>
  </si>
  <si>
    <t>I had never heard of LIrAs.</t>
  </si>
  <si>
    <t>Low — I needed some attention, but using LIrAs was generally straightforward.</t>
  </si>
  <si>
    <t>No aspect was particularly difficult</t>
  </si>
  <si>
    <t>Native speaker</t>
  </si>
  <si>
    <t>Disagree</t>
  </si>
  <si>
    <t>Its hard to write it from scratch because its too loose.</t>
  </si>
  <si>
    <t>Conditional constructs (if/else and until)</t>
  </si>
  <si>
    <t>if/else is unintuitive, it follows different rules than the typical code construct. Perhaps I'd change its name</t>
  </si>
  <si>
    <t>Other role</t>
  </si>
  <si>
    <t>Intermediate: Can understand the main points of standard input on familiar matters</t>
  </si>
  <si>
    <t>Sub-sequence control constructs (skip and restart)</t>
  </si>
  <si>
    <t>Bachelor’s or  Master’s student</t>
  </si>
  <si>
    <t>High — I often had to reason carefully or revisit the provided material to complete the tasks.</t>
  </si>
  <si>
    <t>Clearer way to understand sequences</t>
  </si>
  <si>
    <t>Other technical/scientific field</t>
  </si>
  <si>
    <t>Less than 1 year</t>
  </si>
  <si>
    <t>Advanced: Can use language flexibly and effectively for complex purposes</t>
  </si>
  <si>
    <t>Having atleast 2 examples for each concept would be more useful.</t>
  </si>
  <si>
    <t>Academic researcher</t>
  </si>
  <si>
    <t>1–3 years</t>
  </si>
  <si>
    <t>Everything is clear and simple. My only comment is I would include actions and predicates into the declarations.</t>
  </si>
  <si>
    <t>Make it more clear when agents have to wait for each other and when they can work independently.
Make things like continuations, if/else, skip and restart a bit easier to understand because the syntax can be confusing at first.
Add more simple examples for common situations like parallel actions, waiting, retries and early termination. Otherwise all in all it is easy to understand</t>
  </si>
  <si>
    <t>There seemed to be multiple ways to define sequences because one sequence can hold multiple actions, but one can also define sequence continuations and individual sequences for that.</t>
  </si>
  <si>
    <t>Robotics, Automation, Control, or Human–Robot Interaction</t>
  </si>
  <si>
    <t>Continuations</t>
  </si>
  <si>
    <t>Better syntax for continautions- range numbers like 1-2 get confusing when tracking multiple steps -- explicit KW like 'background' or 'async' would make independent actions easier to spot
Clearer scope for skip and restart- its easy to forget that skip or restart only effects one agent's current step instead of the whole team. Adding an explicit target (ie restart self or skip step) would avoid confusion</t>
  </si>
  <si>
    <t>provide more complex visual examples for multi agent continuations</t>
  </si>
  <si>
    <t>I had read or seen material about LIrAs but had not used it.</t>
  </si>
  <si>
    <t>More structured indentation or parentheses</t>
  </si>
  <si>
    <t>-Keep the list of actions and predicates while writi ng the pattern so that i don't go back
-More examples of continuation like 1-2 to show when agents don't have to wait for each other</t>
  </si>
  <si>
    <t>Success and failure conditions</t>
  </si>
  <si>
    <t>I think LiRAs as is are about as elegant and simple as they can be made.  I wish I could offer some valuable feedback, but if I had to design something like this, I can't see that I'd make it any different</t>
  </si>
  <si>
    <t>More examples showing continuations in complex scenarios
A quick reference cheat sheet summarizing all constructs in one place</t>
  </si>
  <si>
    <t>Other field</t>
  </si>
  <si>
    <t>No programming experience</t>
  </si>
  <si>
    <t>Maybe readability. I guess this is familiar to coders, but for non-coders, some words can be difficult to interpret when they all use the same font and size</t>
  </si>
  <si>
    <t>Robot and Waiter synchronize before starting sub-sequence 3.</t>
  </si>
  <si>
    <t>Not Answer</t>
  </si>
  <si>
    <t>This is the answer to the preavious question</t>
  </si>
  <si>
    <t>Missing the Operator sequence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</si>
</sst>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
  </numFmts>
  <fonts count="6">
    <font>
      <sz val="11"/>
      <name val="Carlito"/>
    </font>
    <font>
      <b/>
      <sz val="14"/>
      <color rgb="FFFFFFFF"/>
      <name val="Carlito"/>
    </font>
    <font>
      <b/>
      <sz val="11"/>
      <name val="Carlito"/>
    </font>
    <font>
      <b/>
      <sz val="11"/>
      <color rgb="FFFFFFFF"/>
      <name val="Carlito"/>
    </font>
    <font>
      <sz val="11"/>
      <name val="Carlito"/>
    </font>
    <font>
      <sz val="8"/>
      <name val="Carlito"/>
    </font>
  </fonts>
  <fills count="11">
    <fill>
      <patternFill patternType="none"/>
    </fill>
    <fill>
      <patternFill patternType="gray125"/>
    </fill>
    <fill>
      <patternFill patternType="solid">
        <fgColor rgb="FF17365D"/>
      </patternFill>
    </fill>
    <fill>
      <patternFill patternType="solid">
        <fgColor rgb="FFD9EAF7"/>
      </patternFill>
    </fill>
    <fill>
      <patternFill patternType="solid">
        <fgColor rgb="FF1F4E78"/>
      </patternFill>
    </fill>
    <fill>
      <patternFill patternType="solid">
        <fgColor rgb="FF4B5563"/>
      </patternFill>
    </fill>
    <fill>
      <patternFill patternType="solid">
        <fgColor rgb="FF2563EB"/>
      </patternFill>
    </fill>
    <fill>
      <patternFill patternType="solid">
        <fgColor rgb="FF7C3AED"/>
      </patternFill>
    </fill>
    <fill>
      <patternFill patternType="solid">
        <fgColor rgb="FF0F766E"/>
      </patternFill>
    </fill>
    <fill>
      <patternFill patternType="solid">
        <fgColor rgb="FFB45309"/>
      </patternFill>
    </fill>
    <fill>
      <patternFill patternType="solid">
        <fgColor rgb="FF6B21A8"/>
      </patternFill>
    </fill>
  </fills>
  <borders count="2">
    <border>
      <left/>
      <right/>
      <top/>
      <bottom/>
      <diagonal/>
    </border>
    <border>
      <left/>
      <right/>
      <top/>
      <bottom/>
      <diagonal/>
    </border>
  </borders>
  <cellStyleXfs count="2">
    <xf numFmtId="0" fontId="0" fillId="0" borderId="0"/>
    <xf numFmtId="0" fontId="4" fillId="0" borderId="0"/>
  </cellStyleXfs>
  <cellXfs count="18">
    <xf numFmtId="0" fontId="0" fillId="0" borderId="0" xfId="0"/>
    <xf numFmtId="0" fontId="2" fillId="3" borderId="0" xfId="1" applyFont="1" applyFill="1" applyAlignment="1">
      <alignment wrapText="1"/>
    </xf>
    <xf numFmtId="0" fontId="0" fillId="0" borderId="0" xfId="1" applyFont="1" applyAlignment="1">
      <alignment wrapText="1"/>
    </xf>
    <xf numFmtId="0" fontId="3" fillId="4" borderId="0" xfId="1" applyFont="1" applyFill="1" applyAlignment="1">
      <alignment vertical="center" wrapText="1"/>
    </xf>
    <xf numFmtId="0" fontId="0" fillId="0" borderId="0" xfId="1" applyFont="1" applyAlignment="1">
      <alignment vertical="top" wrapText="1"/>
    </xf>
    <xf numFmtId="0" fontId="3" fillId="5" borderId="0" xfId="1" applyFont="1" applyFill="1" applyAlignment="1">
      <alignment horizontal="center" vertical="center" wrapText="1"/>
    </xf>
    <xf numFmtId="0" fontId="3" fillId="6" borderId="0" xfId="1" applyFont="1" applyFill="1" applyAlignment="1">
      <alignment horizontal="center" vertical="center" wrapText="1"/>
    </xf>
    <xf numFmtId="0" fontId="3" fillId="7" borderId="0" xfId="1" applyFont="1" applyFill="1" applyAlignment="1">
      <alignment horizontal="center" vertical="center" wrapText="1"/>
    </xf>
    <xf numFmtId="0" fontId="3" fillId="8" borderId="0" xfId="1" applyFont="1" applyFill="1" applyAlignment="1">
      <alignment horizontal="center" vertical="center" wrapText="1"/>
    </xf>
    <xf numFmtId="0" fontId="3" fillId="9" borderId="0" xfId="1" applyFont="1" applyFill="1" applyAlignment="1">
      <alignment horizontal="center" vertical="center" wrapText="1"/>
    </xf>
    <xf numFmtId="0" fontId="3" fillId="10" borderId="0" xfId="1" applyFont="1" applyFill="1" applyAlignment="1">
      <alignment horizontal="center" vertical="center" wrapText="1"/>
    </xf>
    <xf numFmtId="164" fontId="0" fillId="0" borderId="0" xfId="1" applyNumberFormat="1" applyFont="1" applyAlignment="1">
      <alignment vertical="top" wrapText="1"/>
    </xf>
    <xf numFmtId="0" fontId="1" fillId="2" borderId="0" xfId="1" applyFont="1" applyFill="1" applyAlignment="1">
      <alignment vertical="center" wrapText="1"/>
    </xf>
    <xf numFmtId="0" fontId="1" fillId="2" borderId="0" xfId="1" applyFont="1" applyFill="1" applyAlignment="1">
      <alignment vertical="center"/>
    </xf>
    <xf numFmtId="0" fontId="2" fillId="3" borderId="0" xfId="1" applyFont="1" applyFill="1" applyAlignment="1">
      <alignment wrapText="1"/>
    </xf>
    <xf numFmtId="0" fontId="0" fillId="0" borderId="0" xfId="1" applyFont="1" applyAlignment="1">
      <alignment vertical="top" wrapText="1"/>
    </xf>
    <xf numFmtId="0" fontId="0" fillId="0" borderId="1" xfId="0" applyBorder="1" applyAlignment="1">
      <alignment wrapText="1"/>
    </xf>
    <xf numFmtId="0" fontId="0" fillId="0" borderId="0" xfId="1" quotePrefix="1" applyFont="1" applyAlignment="1">
      <alignment wrapText="1"/>
    </xf>
  </cellXfs>
  <cellStyles count="2">
    <cellStyle name="Normal" xfId="1" xr:uid="{00000000-0005-0000-0000-000000000000}"/>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BackgroundFeedbackTable" displayName="BackgroundFeedbackTable" ref="A1:AA21" totalsRowShown="0">
  <tableColumns count="27">
    <tableColumn id="1" xr3:uid="{00000000-0010-0000-0000-000001000000}" name="Blind ID"/>
    <tableColumn id="2" xr3:uid="{00000000-0010-0000-0000-000002000000}" name="Cohort"/>
    <tableColumn id="3" xr3:uid="{00000000-0010-0000-0000-000003000000}" name="Timestamp"/>
    <tableColumn id="4" xr3:uid="{00000000-0010-0000-0000-000004000000}" name="Role"/>
    <tableColumn id="5" xr3:uid="{00000000-0010-0000-0000-000005000000}" name="Background area"/>
    <tableColumn id="6" xr3:uid="{00000000-0010-0000-0000-000006000000}" name="Programming experience"/>
    <tableColumn id="7" xr3:uid="{00000000-0010-0000-0000-000007000000}" name="Exp: Textual DSLs"/>
    <tableColumn id="8" xr3:uid="{00000000-0010-0000-0000-000008000000}" name="Exp: Modeling notations"/>
    <tableColumn id="9" xr3:uid="{00000000-0010-0000-0000-000009000000}" name="Exp: Uppaal/automata"/>
    <tableColumn id="10" xr3:uid="{00000000-0010-0000-0000-00000A000000}" name="Exp: Formal methods"/>
    <tableColumn id="11" xr3:uid="{00000000-0010-0000-0000-00000B000000}" name="Exp: Robotics/MAS/HRI"/>
    <tableColumn id="12" xr3:uid="{00000000-0010-0000-0000-00000C000000}" name="LIrAs familiarity"/>
    <tableColumn id="13" xr3:uid="{00000000-0010-0000-0000-00000D000000}" name="English technical reading"/>
    <tableColumn id="14" xr3:uid="{00000000-0010-0000-0000-00000E000000}" name="Mental effort"/>
    <tableColumn id="15" xr3:uid="{00000000-0010-0000-0000-00000F000000}" name="LIrAs: Syntax"/>
    <tableColumn id="16" xr3:uid="{00000000-0010-0000-0000-000010000000}" name="LIrAs: Scenario -&gt; specification"/>
    <tableColumn id="17" xr3:uid="{00000000-0010-0000-0000-000011000000}" name="LIrAs: Synchronization"/>
    <tableColumn id="18" xr3:uid="{00000000-0010-0000-0000-000012000000}" name="LIrAs: Continuations"/>
    <tableColumn id="19" xr3:uid="{00000000-0010-0000-0000-000013000000}" name="LIrAs: Conditional constructs"/>
    <tableColumn id="20" xr3:uid="{00000000-0010-0000-0000-000014000000}" name="LIrAs: Skip/restart"/>
    <tableColumn id="21" xr3:uid="{00000000-0010-0000-0000-000015000000}" name="LIrAs: Confidence"/>
    <tableColumn id="22" xr3:uid="{00000000-0010-0000-0000-000016000000}" name="Most difficult aspect"/>
    <tableColumn id="23" xr3:uid="{00000000-0010-0000-0000-000017000000}" name="Tutorial: Clarity"/>
    <tableColumn id="24" xr3:uid="{00000000-0010-0000-0000-000018000000}" name="Tutorial: Actions/predicates/parameters"/>
    <tableColumn id="25" xr3:uid="{00000000-0010-0000-0000-000019000000}" name="Tutorial: Examples"/>
    <tableColumn id="26" xr3:uid="{00000000-0010-0000-0000-00001A000000}" name="Tutorial: Sufficient information"/>
    <tableColumn id="27" xr3:uid="{00000000-0010-0000-0000-00001B000000}" name="Open feedback"/>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9"/>
  <sheetViews>
    <sheetView workbookViewId="0">
      <selection sqref="A1:H1"/>
    </sheetView>
  </sheetViews>
  <sheetFormatPr baseColWidth="10" defaultColWidth="8.83203125" defaultRowHeight="14"/>
  <cols>
    <col min="1" max="1" width="24" customWidth="1"/>
    <col min="2" max="2" width="80" customWidth="1"/>
  </cols>
  <sheetData>
    <row r="1" spans="1:8" ht="18">
      <c r="A1" s="12" t="s">
        <v>0</v>
      </c>
      <c r="B1" s="12"/>
      <c r="C1" s="13"/>
      <c r="D1" s="13"/>
      <c r="E1" s="13"/>
      <c r="F1" s="13"/>
      <c r="G1" s="13"/>
      <c r="H1" s="13"/>
    </row>
    <row r="2" spans="1:8">
      <c r="A2" s="2"/>
      <c r="B2" s="2"/>
    </row>
    <row r="3" spans="1:8" ht="16">
      <c r="A3" s="1" t="s">
        <v>1</v>
      </c>
      <c r="B3" s="2" t="s">
        <v>2</v>
      </c>
    </row>
    <row r="4" spans="1:8" ht="31">
      <c r="A4" s="1" t="s">
        <v>3</v>
      </c>
      <c r="B4" s="2" t="s">
        <v>4</v>
      </c>
    </row>
    <row r="5" spans="1:8" ht="31">
      <c r="A5" s="1" t="s">
        <v>5</v>
      </c>
      <c r="B5" s="2" t="s">
        <v>6</v>
      </c>
    </row>
    <row r="6" spans="1:8" ht="31">
      <c r="A6" s="1" t="s">
        <v>7</v>
      </c>
      <c r="B6" s="2" t="s">
        <v>8</v>
      </c>
    </row>
    <row r="7" spans="1:8" ht="16">
      <c r="A7" s="1" t="s">
        <v>9</v>
      </c>
      <c r="B7" s="2" t="s">
        <v>10</v>
      </c>
    </row>
    <row r="8" spans="1:8" ht="31">
      <c r="A8" s="1" t="s">
        <v>11</v>
      </c>
      <c r="B8" s="2" t="s">
        <v>12</v>
      </c>
    </row>
    <row r="9" spans="1:8" ht="31">
      <c r="A9" s="1" t="s">
        <v>13</v>
      </c>
      <c r="B9" s="2" t="s">
        <v>14</v>
      </c>
    </row>
  </sheetData>
  <mergeCells count="1">
    <mergeCell ref="A1:H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89"/>
  <sheetViews>
    <sheetView topLeftCell="A50" zoomScale="159" workbookViewId="0">
      <selection activeCell="A78" sqref="A78:C89"/>
    </sheetView>
  </sheetViews>
  <sheetFormatPr baseColWidth="10" defaultColWidth="8.83203125" defaultRowHeight="14"/>
  <cols>
    <col min="1" max="1" width="14" customWidth="1"/>
    <col min="2" max="2" width="85" customWidth="1"/>
    <col min="3" max="3" width="12" customWidth="1"/>
  </cols>
  <sheetData>
    <row r="1" spans="1:3" ht="18">
      <c r="A1" s="12" t="s">
        <v>15</v>
      </c>
      <c r="B1" s="12"/>
      <c r="C1" s="12"/>
    </row>
    <row r="3" spans="1:3" ht="16">
      <c r="A3" s="3" t="s">
        <v>16</v>
      </c>
      <c r="B3" s="3" t="s">
        <v>17</v>
      </c>
      <c r="C3" s="3" t="s">
        <v>18</v>
      </c>
    </row>
    <row r="4" spans="1:3">
      <c r="A4" t="s">
        <v>19</v>
      </c>
      <c r="B4" t="s">
        <v>20</v>
      </c>
      <c r="C4">
        <v>1</v>
      </c>
    </row>
    <row r="5" spans="1:3">
      <c r="A5" t="s">
        <v>21</v>
      </c>
      <c r="B5" t="s">
        <v>22</v>
      </c>
      <c r="C5">
        <v>1</v>
      </c>
    </row>
    <row r="6" spans="1:3">
      <c r="A6" t="s">
        <v>23</v>
      </c>
      <c r="B6" t="s">
        <v>24</v>
      </c>
      <c r="C6">
        <v>1</v>
      </c>
    </row>
    <row r="7" spans="1:3">
      <c r="A7" t="s">
        <v>25</v>
      </c>
      <c r="B7" t="s">
        <v>26</v>
      </c>
      <c r="C7">
        <v>1</v>
      </c>
    </row>
    <row r="8" spans="1:3">
      <c r="A8" t="s">
        <v>27</v>
      </c>
      <c r="B8" t="s">
        <v>28</v>
      </c>
      <c r="C8">
        <v>1</v>
      </c>
    </row>
    <row r="9" spans="1:3">
      <c r="A9" t="s">
        <v>29</v>
      </c>
      <c r="B9" t="s">
        <v>30</v>
      </c>
      <c r="C9">
        <v>1</v>
      </c>
    </row>
    <row r="10" spans="1:3">
      <c r="A10" t="s">
        <v>31</v>
      </c>
      <c r="B10" t="s">
        <v>32</v>
      </c>
      <c r="C10">
        <v>1</v>
      </c>
    </row>
    <row r="13" spans="1:3" ht="15">
      <c r="A13" s="14" t="s">
        <v>33</v>
      </c>
      <c r="B13" s="14"/>
      <c r="C13" s="14"/>
    </row>
    <row r="14" spans="1:3" ht="16">
      <c r="A14" s="3" t="s">
        <v>34</v>
      </c>
      <c r="B14" s="3" t="s">
        <v>35</v>
      </c>
      <c r="C14" s="3" t="s">
        <v>36</v>
      </c>
    </row>
    <row r="15" spans="1:3">
      <c r="A15" t="s">
        <v>37</v>
      </c>
      <c r="B15" t="s">
        <v>38</v>
      </c>
      <c r="C15">
        <v>0.5</v>
      </c>
    </row>
    <row r="16" spans="1:3">
      <c r="A16" t="s">
        <v>39</v>
      </c>
      <c r="B16" t="s">
        <v>40</v>
      </c>
      <c r="C16">
        <v>0.5</v>
      </c>
    </row>
    <row r="17" spans="1:3">
      <c r="A17" t="s">
        <v>41</v>
      </c>
      <c r="B17" t="s">
        <v>42</v>
      </c>
      <c r="C17">
        <v>0.5</v>
      </c>
    </row>
    <row r="18" spans="1:3">
      <c r="A18" t="s">
        <v>43</v>
      </c>
      <c r="B18" t="s">
        <v>44</v>
      </c>
      <c r="C18">
        <v>0.5</v>
      </c>
    </row>
    <row r="19" spans="1:3">
      <c r="A19" t="s">
        <v>45</v>
      </c>
      <c r="B19" t="s">
        <v>46</v>
      </c>
      <c r="C19">
        <v>0.5</v>
      </c>
    </row>
    <row r="22" spans="1:3" ht="15">
      <c r="A22" s="14" t="s">
        <v>47</v>
      </c>
      <c r="B22" s="14"/>
      <c r="C22" s="14"/>
    </row>
    <row r="23" spans="1:3" ht="16">
      <c r="A23" s="3" t="s">
        <v>34</v>
      </c>
      <c r="B23" s="3" t="s">
        <v>35</v>
      </c>
      <c r="C23" s="3" t="s">
        <v>36</v>
      </c>
    </row>
    <row r="24" spans="1:3">
      <c r="A24" t="s">
        <v>37</v>
      </c>
      <c r="B24" t="s">
        <v>48</v>
      </c>
      <c r="C24">
        <v>0.5</v>
      </c>
    </row>
    <row r="25" spans="1:3">
      <c r="A25" t="s">
        <v>39</v>
      </c>
      <c r="B25" t="s">
        <v>49</v>
      </c>
      <c r="C25">
        <v>0.5</v>
      </c>
    </row>
    <row r="26" spans="1:3">
      <c r="A26" t="s">
        <v>41</v>
      </c>
      <c r="B26" t="s">
        <v>50</v>
      </c>
      <c r="C26">
        <v>0.5</v>
      </c>
    </row>
    <row r="27" spans="1:3">
      <c r="A27" t="s">
        <v>43</v>
      </c>
      <c r="B27" t="s">
        <v>51</v>
      </c>
      <c r="C27">
        <v>0.5</v>
      </c>
    </row>
    <row r="29" spans="1:3" ht="15">
      <c r="A29" s="14" t="s">
        <v>52</v>
      </c>
      <c r="B29" s="14"/>
      <c r="C29" s="14"/>
    </row>
    <row r="30" spans="1:3">
      <c r="A30" s="15" t="s">
        <v>53</v>
      </c>
      <c r="B30" s="15"/>
      <c r="C30" s="15"/>
    </row>
    <row r="31" spans="1:3">
      <c r="A31" s="15"/>
      <c r="B31" s="15"/>
      <c r="C31" s="15"/>
    </row>
    <row r="32" spans="1:3">
      <c r="A32" s="15"/>
      <c r="B32" s="15"/>
      <c r="C32" s="15"/>
    </row>
    <row r="33" spans="1:3">
      <c r="A33" s="15"/>
      <c r="B33" s="15"/>
      <c r="C33" s="15"/>
    </row>
    <row r="34" spans="1:3">
      <c r="A34" s="15"/>
      <c r="B34" s="15"/>
      <c r="C34" s="15"/>
    </row>
    <row r="35" spans="1:3">
      <c r="A35" s="15"/>
      <c r="B35" s="15"/>
      <c r="C35" s="15"/>
    </row>
    <row r="36" spans="1:3">
      <c r="A36" s="15"/>
      <c r="B36" s="15"/>
      <c r="C36" s="15"/>
    </row>
    <row r="37" spans="1:3">
      <c r="A37" s="15"/>
      <c r="B37" s="15"/>
      <c r="C37" s="15"/>
    </row>
    <row r="38" spans="1:3">
      <c r="A38" s="15"/>
      <c r="B38" s="15"/>
      <c r="C38" s="15"/>
    </row>
    <row r="39" spans="1:3">
      <c r="A39" s="15"/>
      <c r="B39" s="15"/>
      <c r="C39" s="15"/>
    </row>
    <row r="40" spans="1:3">
      <c r="A40" s="15"/>
      <c r="B40" s="15"/>
      <c r="C40" s="15"/>
    </row>
    <row r="41" spans="1:3">
      <c r="A41" s="15"/>
      <c r="B41" s="15"/>
      <c r="C41" s="15"/>
    </row>
    <row r="44" spans="1:3" ht="15">
      <c r="A44" s="14" t="s">
        <v>54</v>
      </c>
      <c r="B44" s="14"/>
      <c r="C44" s="14"/>
    </row>
    <row r="45" spans="1:3" ht="16">
      <c r="A45" s="3" t="s">
        <v>34</v>
      </c>
      <c r="B45" s="3" t="s">
        <v>35</v>
      </c>
      <c r="C45" s="3" t="s">
        <v>36</v>
      </c>
    </row>
    <row r="46" spans="1:3">
      <c r="A46" t="s">
        <v>37</v>
      </c>
      <c r="B46" t="s">
        <v>55</v>
      </c>
      <c r="C46">
        <v>0.5</v>
      </c>
    </row>
    <row r="47" spans="1:3">
      <c r="A47" t="s">
        <v>39</v>
      </c>
      <c r="B47" t="s">
        <v>56</v>
      </c>
      <c r="C47">
        <v>0.5</v>
      </c>
    </row>
    <row r="48" spans="1:3">
      <c r="A48" t="s">
        <v>41</v>
      </c>
      <c r="B48" t="s">
        <v>57</v>
      </c>
      <c r="C48">
        <v>0.5</v>
      </c>
    </row>
    <row r="49" spans="1:3">
      <c r="A49" t="s">
        <v>43</v>
      </c>
      <c r="B49" t="s">
        <v>58</v>
      </c>
      <c r="C49">
        <v>0.5</v>
      </c>
    </row>
    <row r="50" spans="1:3">
      <c r="A50" t="s">
        <v>45</v>
      </c>
      <c r="B50" t="s">
        <v>59</v>
      </c>
      <c r="C50">
        <v>0.5</v>
      </c>
    </row>
    <row r="51" spans="1:3">
      <c r="A51" t="s">
        <v>60</v>
      </c>
      <c r="B51" t="s">
        <v>61</v>
      </c>
      <c r="C51">
        <v>0.5</v>
      </c>
    </row>
    <row r="53" spans="1:3" ht="15">
      <c r="A53" s="14" t="s">
        <v>62</v>
      </c>
      <c r="B53" s="14"/>
      <c r="C53" s="14"/>
    </row>
    <row r="54" spans="1:3">
      <c r="A54" s="15" t="s">
        <v>63</v>
      </c>
      <c r="B54" s="15"/>
      <c r="C54" s="15"/>
    </row>
    <row r="55" spans="1:3">
      <c r="A55" s="15"/>
      <c r="B55" s="15"/>
      <c r="C55" s="15"/>
    </row>
    <row r="56" spans="1:3">
      <c r="A56" s="15"/>
      <c r="B56" s="15"/>
      <c r="C56" s="15"/>
    </row>
    <row r="57" spans="1:3">
      <c r="A57" s="15"/>
      <c r="B57" s="15"/>
      <c r="C57" s="15"/>
    </row>
    <row r="58" spans="1:3">
      <c r="A58" s="15"/>
      <c r="B58" s="15"/>
      <c r="C58" s="15"/>
    </row>
    <row r="59" spans="1:3">
      <c r="A59" s="15"/>
      <c r="B59" s="15"/>
      <c r="C59" s="15"/>
    </row>
    <row r="60" spans="1:3">
      <c r="A60" s="15"/>
      <c r="B60" s="15"/>
      <c r="C60" s="15"/>
    </row>
    <row r="61" spans="1:3">
      <c r="A61" s="15"/>
      <c r="B61" s="15"/>
      <c r="C61" s="15"/>
    </row>
    <row r="62" spans="1:3">
      <c r="A62" s="15"/>
      <c r="B62" s="15"/>
      <c r="C62" s="15"/>
    </row>
    <row r="63" spans="1:3">
      <c r="A63" s="15"/>
      <c r="B63" s="15"/>
      <c r="C63" s="15"/>
    </row>
    <row r="64" spans="1:3">
      <c r="A64" s="15"/>
      <c r="B64" s="15"/>
      <c r="C64" s="15"/>
    </row>
    <row r="65" spans="1:3">
      <c r="A65" s="15"/>
      <c r="B65" s="15"/>
      <c r="C65" s="15"/>
    </row>
    <row r="68" spans="1:3" ht="15">
      <c r="A68" s="14" t="s">
        <v>64</v>
      </c>
      <c r="B68" s="14"/>
      <c r="C68" s="14"/>
    </row>
    <row r="69" spans="1:3" ht="16">
      <c r="A69" s="3" t="s">
        <v>34</v>
      </c>
      <c r="B69" s="3" t="s">
        <v>35</v>
      </c>
      <c r="C69" s="3" t="s">
        <v>36</v>
      </c>
    </row>
    <row r="70" spans="1:3">
      <c r="A70" t="s">
        <v>37</v>
      </c>
      <c r="B70" t="s">
        <v>65</v>
      </c>
      <c r="C70">
        <v>0.5</v>
      </c>
    </row>
    <row r="71" spans="1:3">
      <c r="A71" t="s">
        <v>39</v>
      </c>
      <c r="B71" t="s">
        <v>66</v>
      </c>
      <c r="C71">
        <v>0.5</v>
      </c>
    </row>
    <row r="72" spans="1:3">
      <c r="A72" t="s">
        <v>41</v>
      </c>
      <c r="B72" t="s">
        <v>67</v>
      </c>
      <c r="C72">
        <v>0.5</v>
      </c>
    </row>
    <row r="73" spans="1:3">
      <c r="A73" t="s">
        <v>43</v>
      </c>
      <c r="B73" t="s">
        <v>68</v>
      </c>
      <c r="C73">
        <v>0.5</v>
      </c>
    </row>
    <row r="74" spans="1:3">
      <c r="A74" t="s">
        <v>45</v>
      </c>
      <c r="B74" t="s">
        <v>69</v>
      </c>
      <c r="C74">
        <v>0.5</v>
      </c>
    </row>
    <row r="75" spans="1:3">
      <c r="A75" t="s">
        <v>60</v>
      </c>
      <c r="B75" t="s">
        <v>70</v>
      </c>
      <c r="C75">
        <v>0.5</v>
      </c>
    </row>
    <row r="77" spans="1:3" ht="15">
      <c r="A77" s="14" t="s">
        <v>71</v>
      </c>
      <c r="B77" s="14"/>
      <c r="C77" s="14"/>
    </row>
    <row r="78" spans="1:3">
      <c r="A78" s="15" t="s">
        <v>72</v>
      </c>
      <c r="B78" s="15"/>
      <c r="C78" s="15"/>
    </row>
    <row r="79" spans="1:3">
      <c r="A79" s="15"/>
      <c r="B79" s="15"/>
      <c r="C79" s="15"/>
    </row>
    <row r="80" spans="1:3">
      <c r="A80" s="15"/>
      <c r="B80" s="15"/>
      <c r="C80" s="15"/>
    </row>
    <row r="81" spans="1:3">
      <c r="A81" s="15"/>
      <c r="B81" s="15"/>
      <c r="C81" s="15"/>
    </row>
    <row r="82" spans="1:3">
      <c r="A82" s="15"/>
      <c r="B82" s="15"/>
      <c r="C82" s="15"/>
    </row>
    <row r="83" spans="1:3">
      <c r="A83" s="15"/>
      <c r="B83" s="15"/>
      <c r="C83" s="15"/>
    </row>
    <row r="84" spans="1:3">
      <c r="A84" s="15"/>
      <c r="B84" s="15"/>
      <c r="C84" s="15"/>
    </row>
    <row r="85" spans="1:3">
      <c r="A85" s="15"/>
      <c r="B85" s="15"/>
      <c r="C85" s="15"/>
    </row>
    <row r="86" spans="1:3">
      <c r="A86" s="15"/>
      <c r="B86" s="15"/>
      <c r="C86" s="15"/>
    </row>
    <row r="87" spans="1:3">
      <c r="A87" s="15"/>
      <c r="B87" s="15"/>
      <c r="C87" s="15"/>
    </row>
    <row r="88" spans="1:3">
      <c r="A88" s="15"/>
      <c r="B88" s="15"/>
      <c r="C88" s="15"/>
    </row>
    <row r="89" spans="1:3">
      <c r="A89" s="15"/>
      <c r="B89" s="15"/>
      <c r="C89" s="15"/>
    </row>
  </sheetData>
  <mergeCells count="11">
    <mergeCell ref="A78:C89"/>
    <mergeCell ref="A44:C44"/>
    <mergeCell ref="A53:C53"/>
    <mergeCell ref="A54:C65"/>
    <mergeCell ref="A68:C68"/>
    <mergeCell ref="A77:C77"/>
    <mergeCell ref="A1:C1"/>
    <mergeCell ref="A13:C13"/>
    <mergeCell ref="A22:C22"/>
    <mergeCell ref="A29:C29"/>
    <mergeCell ref="A30:C4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1"/>
  <sheetViews>
    <sheetView zoomScale="223" workbookViewId="0">
      <selection activeCell="C7" sqref="C7"/>
    </sheetView>
  </sheetViews>
  <sheetFormatPr baseColWidth="10" defaultColWidth="8.83203125" defaultRowHeight="14"/>
  <cols>
    <col min="1" max="1" width="6.5" customWidth="1"/>
    <col min="2" max="2" width="5.6640625" customWidth="1"/>
    <col min="3" max="3" width="45" customWidth="1"/>
    <col min="4" max="4" width="9.1640625" customWidth="1"/>
  </cols>
  <sheetData>
    <row r="1" spans="1:4" ht="32">
      <c r="A1" s="3" t="s">
        <v>73</v>
      </c>
      <c r="B1" s="3" t="s">
        <v>74</v>
      </c>
      <c r="C1" s="3" t="s">
        <v>75</v>
      </c>
      <c r="D1" s="3" t="s">
        <v>76</v>
      </c>
    </row>
    <row r="2" spans="1:4">
      <c r="A2" t="s">
        <v>77</v>
      </c>
      <c r="B2" t="s">
        <v>78</v>
      </c>
      <c r="C2" t="s">
        <v>79</v>
      </c>
      <c r="D2">
        <v>4</v>
      </c>
    </row>
    <row r="3" spans="1:4">
      <c r="A3" t="s">
        <v>80</v>
      </c>
      <c r="B3" t="s">
        <v>78</v>
      </c>
      <c r="C3" t="s">
        <v>79</v>
      </c>
      <c r="D3">
        <v>3</v>
      </c>
    </row>
    <row r="4" spans="1:4">
      <c r="A4" t="s">
        <v>81</v>
      </c>
      <c r="B4" t="s">
        <v>82</v>
      </c>
      <c r="C4" t="s">
        <v>83</v>
      </c>
      <c r="D4">
        <v>2</v>
      </c>
    </row>
    <row r="5" spans="1:4">
      <c r="A5" t="s">
        <v>84</v>
      </c>
      <c r="B5" t="s">
        <v>78</v>
      </c>
      <c r="C5" t="s">
        <v>79</v>
      </c>
      <c r="D5">
        <v>7</v>
      </c>
    </row>
    <row r="6" spans="1:4">
      <c r="A6" t="s">
        <v>85</v>
      </c>
      <c r="B6" t="s">
        <v>78</v>
      </c>
      <c r="C6" t="s">
        <v>79</v>
      </c>
      <c r="D6">
        <v>5</v>
      </c>
    </row>
    <row r="7" spans="1:4">
      <c r="A7" t="s">
        <v>86</v>
      </c>
      <c r="B7" t="s">
        <v>82</v>
      </c>
      <c r="C7" t="s">
        <v>83</v>
      </c>
      <c r="D7">
        <v>3</v>
      </c>
    </row>
    <row r="8" spans="1:4">
      <c r="A8" t="s">
        <v>87</v>
      </c>
      <c r="B8" t="s">
        <v>78</v>
      </c>
      <c r="C8" t="s">
        <v>79</v>
      </c>
      <c r="D8">
        <v>10</v>
      </c>
    </row>
    <row r="9" spans="1:4">
      <c r="A9" t="s">
        <v>88</v>
      </c>
      <c r="B9" t="s">
        <v>82</v>
      </c>
      <c r="C9" t="s">
        <v>83</v>
      </c>
      <c r="D9">
        <v>10</v>
      </c>
    </row>
    <row r="10" spans="1:4">
      <c r="A10" t="s">
        <v>89</v>
      </c>
      <c r="B10" t="s">
        <v>78</v>
      </c>
      <c r="C10" t="s">
        <v>79</v>
      </c>
      <c r="D10">
        <v>8</v>
      </c>
    </row>
    <row r="11" spans="1:4">
      <c r="A11" t="s">
        <v>90</v>
      </c>
      <c r="B11" t="s">
        <v>82</v>
      </c>
      <c r="C11" t="s">
        <v>83</v>
      </c>
      <c r="D11">
        <v>9</v>
      </c>
    </row>
    <row r="12" spans="1:4">
      <c r="A12" t="s">
        <v>91</v>
      </c>
      <c r="B12" t="s">
        <v>78</v>
      </c>
      <c r="C12" t="s">
        <v>79</v>
      </c>
      <c r="D12">
        <v>6</v>
      </c>
    </row>
    <row r="13" spans="1:4">
      <c r="A13" t="s">
        <v>92</v>
      </c>
      <c r="B13" t="s">
        <v>82</v>
      </c>
      <c r="C13" t="s">
        <v>83</v>
      </c>
      <c r="D13">
        <v>8</v>
      </c>
    </row>
    <row r="14" spans="1:4">
      <c r="A14" t="s">
        <v>93</v>
      </c>
      <c r="B14" t="s">
        <v>82</v>
      </c>
      <c r="C14" t="s">
        <v>83</v>
      </c>
      <c r="D14">
        <v>11</v>
      </c>
    </row>
    <row r="15" spans="1:4">
      <c r="A15" t="s">
        <v>94</v>
      </c>
      <c r="B15" t="s">
        <v>78</v>
      </c>
      <c r="C15" t="s">
        <v>79</v>
      </c>
      <c r="D15">
        <v>2</v>
      </c>
    </row>
    <row r="16" spans="1:4">
      <c r="A16" t="s">
        <v>95</v>
      </c>
      <c r="B16" t="s">
        <v>82</v>
      </c>
      <c r="C16" t="s">
        <v>83</v>
      </c>
      <c r="D16">
        <v>7</v>
      </c>
    </row>
    <row r="17" spans="1:4">
      <c r="A17" t="s">
        <v>96</v>
      </c>
      <c r="B17" t="s">
        <v>82</v>
      </c>
      <c r="C17" t="s">
        <v>83</v>
      </c>
      <c r="D17">
        <v>5</v>
      </c>
    </row>
    <row r="18" spans="1:4">
      <c r="A18" t="s">
        <v>97</v>
      </c>
      <c r="B18" t="s">
        <v>78</v>
      </c>
      <c r="C18" t="s">
        <v>79</v>
      </c>
      <c r="D18">
        <v>11</v>
      </c>
    </row>
    <row r="19" spans="1:4">
      <c r="A19" t="s">
        <v>98</v>
      </c>
      <c r="B19" t="s">
        <v>78</v>
      </c>
      <c r="C19" t="s">
        <v>79</v>
      </c>
      <c r="D19">
        <v>9</v>
      </c>
    </row>
    <row r="20" spans="1:4">
      <c r="A20" t="s">
        <v>99</v>
      </c>
      <c r="B20" t="s">
        <v>82</v>
      </c>
      <c r="C20" t="s">
        <v>83</v>
      </c>
      <c r="D20">
        <v>4</v>
      </c>
    </row>
    <row r="21" spans="1:4">
      <c r="A21" t="s">
        <v>100</v>
      </c>
      <c r="B21" t="s">
        <v>82</v>
      </c>
      <c r="C21" t="s">
        <v>83</v>
      </c>
      <c r="D21">
        <v>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21"/>
  <sheetViews>
    <sheetView workbookViewId="0"/>
  </sheetViews>
  <sheetFormatPr baseColWidth="10" defaultColWidth="8.83203125" defaultRowHeight="14"/>
  <cols>
    <col min="1" max="1" width="11" customWidth="1"/>
    <col min="2" max="2" width="48" customWidth="1"/>
    <col min="3" max="3" width="11" customWidth="1"/>
    <col min="4" max="4" width="48" customWidth="1"/>
    <col min="5" max="5" width="11" customWidth="1"/>
    <col min="6" max="6" width="48" customWidth="1"/>
    <col min="7" max="7" width="11" customWidth="1"/>
    <col min="8" max="8" width="48" customWidth="1"/>
    <col min="9" max="10" width="11" customWidth="1"/>
    <col min="11" max="11" width="48" customWidth="1"/>
    <col min="12" max="15" width="11" customWidth="1"/>
  </cols>
  <sheetData>
    <row r="1" spans="1:15" ht="16">
      <c r="A1" s="3" t="s">
        <v>73</v>
      </c>
      <c r="B1" s="3" t="s">
        <v>101</v>
      </c>
      <c r="C1" s="3" t="s">
        <v>19</v>
      </c>
      <c r="D1" s="3" t="s">
        <v>102</v>
      </c>
      <c r="E1" s="3" t="s">
        <v>21</v>
      </c>
      <c r="F1" s="3" t="s">
        <v>103</v>
      </c>
      <c r="G1" s="3" t="s">
        <v>23</v>
      </c>
      <c r="H1" s="3" t="s">
        <v>104</v>
      </c>
      <c r="I1" s="3" t="s">
        <v>25</v>
      </c>
      <c r="J1" s="3" t="s">
        <v>105</v>
      </c>
      <c r="K1" s="3" t="s">
        <v>106</v>
      </c>
      <c r="L1" s="3" t="s">
        <v>107</v>
      </c>
      <c r="M1" s="3" t="s">
        <v>108</v>
      </c>
      <c r="N1" s="3" t="s">
        <v>109</v>
      </c>
      <c r="O1" s="3" t="s">
        <v>110</v>
      </c>
    </row>
    <row r="2" spans="1:15">
      <c r="A2" t="s">
        <v>77</v>
      </c>
      <c r="B2" t="s">
        <v>20</v>
      </c>
      <c r="C2">
        <v>1</v>
      </c>
      <c r="D2" t="s">
        <v>22</v>
      </c>
      <c r="E2">
        <v>1</v>
      </c>
      <c r="F2" t="s">
        <v>24</v>
      </c>
      <c r="G2">
        <v>1</v>
      </c>
      <c r="H2" t="s">
        <v>26</v>
      </c>
      <c r="I2">
        <v>1</v>
      </c>
      <c r="J2">
        <f t="shared" ref="J2:J21" si="0">SUM(C2,E2,G2,I2)</f>
        <v>4</v>
      </c>
      <c r="K2" t="s">
        <v>111</v>
      </c>
      <c r="L2">
        <v>1</v>
      </c>
      <c r="M2">
        <v>1</v>
      </c>
      <c r="N2">
        <v>1</v>
      </c>
      <c r="O2">
        <f t="shared" ref="O2:O21" si="1">SUM(L2:N2)</f>
        <v>3</v>
      </c>
    </row>
    <row r="3" spans="1:15">
      <c r="A3" t="s">
        <v>80</v>
      </c>
      <c r="B3" t="s">
        <v>20</v>
      </c>
      <c r="C3">
        <v>1</v>
      </c>
      <c r="D3" t="s">
        <v>22</v>
      </c>
      <c r="E3">
        <v>1</v>
      </c>
      <c r="F3" t="s">
        <v>24</v>
      </c>
      <c r="G3">
        <v>1</v>
      </c>
      <c r="H3" t="s">
        <v>26</v>
      </c>
      <c r="I3">
        <v>1</v>
      </c>
      <c r="J3">
        <f t="shared" si="0"/>
        <v>4</v>
      </c>
      <c r="K3" t="s">
        <v>111</v>
      </c>
      <c r="L3">
        <v>1</v>
      </c>
      <c r="M3">
        <v>1</v>
      </c>
      <c r="N3">
        <v>1</v>
      </c>
      <c r="O3">
        <f t="shared" si="1"/>
        <v>3</v>
      </c>
    </row>
    <row r="4" spans="1:15">
      <c r="A4" t="s">
        <v>81</v>
      </c>
      <c r="B4" t="s">
        <v>20</v>
      </c>
      <c r="C4">
        <v>1</v>
      </c>
      <c r="D4" t="s">
        <v>22</v>
      </c>
      <c r="E4">
        <v>1</v>
      </c>
      <c r="F4" t="s">
        <v>112</v>
      </c>
      <c r="G4">
        <v>0</v>
      </c>
      <c r="H4" t="s">
        <v>113</v>
      </c>
      <c r="I4">
        <v>0</v>
      </c>
      <c r="J4">
        <f t="shared" si="0"/>
        <v>2</v>
      </c>
      <c r="K4" t="s">
        <v>114</v>
      </c>
      <c r="L4">
        <v>0</v>
      </c>
      <c r="M4">
        <v>1</v>
      </c>
      <c r="N4">
        <v>1</v>
      </c>
      <c r="O4">
        <f t="shared" si="1"/>
        <v>2</v>
      </c>
    </row>
    <row r="5" spans="1:15">
      <c r="A5" t="s">
        <v>84</v>
      </c>
      <c r="B5" t="s">
        <v>20</v>
      </c>
      <c r="C5">
        <v>1</v>
      </c>
      <c r="D5" t="s">
        <v>22</v>
      </c>
      <c r="E5">
        <v>1</v>
      </c>
      <c r="F5" t="s">
        <v>24</v>
      </c>
      <c r="G5">
        <v>1</v>
      </c>
      <c r="H5" t="s">
        <v>26</v>
      </c>
      <c r="I5">
        <v>1</v>
      </c>
      <c r="J5">
        <f t="shared" si="0"/>
        <v>4</v>
      </c>
      <c r="K5" t="s">
        <v>115</v>
      </c>
      <c r="L5">
        <v>1</v>
      </c>
      <c r="M5">
        <v>0</v>
      </c>
      <c r="N5">
        <v>1</v>
      </c>
      <c r="O5">
        <f t="shared" si="1"/>
        <v>2</v>
      </c>
    </row>
    <row r="6" spans="1:15">
      <c r="A6" t="s">
        <v>85</v>
      </c>
      <c r="B6" t="s">
        <v>20</v>
      </c>
      <c r="C6">
        <v>1</v>
      </c>
      <c r="D6" t="s">
        <v>22</v>
      </c>
      <c r="E6">
        <v>1</v>
      </c>
      <c r="F6" t="s">
        <v>24</v>
      </c>
      <c r="G6">
        <v>1</v>
      </c>
      <c r="H6" t="s">
        <v>26</v>
      </c>
      <c r="I6">
        <v>1</v>
      </c>
      <c r="J6">
        <f t="shared" si="0"/>
        <v>4</v>
      </c>
      <c r="K6" t="s">
        <v>114</v>
      </c>
      <c r="L6">
        <v>0</v>
      </c>
      <c r="M6">
        <v>1</v>
      </c>
      <c r="N6">
        <v>1</v>
      </c>
      <c r="O6">
        <f t="shared" si="1"/>
        <v>2</v>
      </c>
    </row>
    <row r="7" spans="1:15">
      <c r="A7" t="s">
        <v>86</v>
      </c>
      <c r="B7" t="s">
        <v>20</v>
      </c>
      <c r="C7">
        <v>1</v>
      </c>
      <c r="D7" t="s">
        <v>22</v>
      </c>
      <c r="E7">
        <v>1</v>
      </c>
      <c r="F7" t="s">
        <v>24</v>
      </c>
      <c r="G7">
        <v>1</v>
      </c>
      <c r="H7" t="s">
        <v>26</v>
      </c>
      <c r="I7">
        <v>1</v>
      </c>
      <c r="J7">
        <f t="shared" si="0"/>
        <v>4</v>
      </c>
      <c r="K7" t="s">
        <v>111</v>
      </c>
      <c r="L7">
        <v>1</v>
      </c>
      <c r="M7">
        <v>1</v>
      </c>
      <c r="N7">
        <v>1</v>
      </c>
      <c r="O7">
        <f t="shared" si="1"/>
        <v>3</v>
      </c>
    </row>
    <row r="8" spans="1:15">
      <c r="A8" t="s">
        <v>87</v>
      </c>
      <c r="B8" t="s">
        <v>116</v>
      </c>
      <c r="C8">
        <v>0</v>
      </c>
      <c r="D8" t="s">
        <v>22</v>
      </c>
      <c r="E8">
        <v>1</v>
      </c>
      <c r="F8" t="s">
        <v>24</v>
      </c>
      <c r="G8">
        <v>1</v>
      </c>
      <c r="H8" t="s">
        <v>26</v>
      </c>
      <c r="I8">
        <v>1</v>
      </c>
      <c r="J8">
        <f t="shared" si="0"/>
        <v>3</v>
      </c>
      <c r="K8" t="s">
        <v>114</v>
      </c>
      <c r="L8">
        <v>0</v>
      </c>
      <c r="M8">
        <v>1</v>
      </c>
      <c r="N8">
        <v>1</v>
      </c>
      <c r="O8">
        <f t="shared" si="1"/>
        <v>2</v>
      </c>
    </row>
    <row r="9" spans="1:15">
      <c r="A9" t="s">
        <v>88</v>
      </c>
      <c r="B9" t="s">
        <v>20</v>
      </c>
      <c r="C9">
        <v>1</v>
      </c>
      <c r="D9" t="s">
        <v>22</v>
      </c>
      <c r="E9">
        <v>1</v>
      </c>
      <c r="F9" t="s">
        <v>24</v>
      </c>
      <c r="G9">
        <v>1</v>
      </c>
      <c r="H9" t="s">
        <v>26</v>
      </c>
      <c r="I9">
        <v>1</v>
      </c>
      <c r="J9">
        <f t="shared" si="0"/>
        <v>4</v>
      </c>
      <c r="K9" t="s">
        <v>111</v>
      </c>
      <c r="L9">
        <v>1</v>
      </c>
      <c r="M9">
        <v>1</v>
      </c>
      <c r="N9">
        <v>1</v>
      </c>
      <c r="O9">
        <f t="shared" si="1"/>
        <v>3</v>
      </c>
    </row>
    <row r="10" spans="1:15">
      <c r="A10" t="s">
        <v>89</v>
      </c>
      <c r="B10" t="s">
        <v>20</v>
      </c>
      <c r="C10">
        <v>1</v>
      </c>
      <c r="D10" t="s">
        <v>22</v>
      </c>
      <c r="E10">
        <v>1</v>
      </c>
      <c r="F10" t="s">
        <v>24</v>
      </c>
      <c r="G10">
        <v>1</v>
      </c>
      <c r="H10" t="s">
        <v>26</v>
      </c>
      <c r="I10">
        <v>1</v>
      </c>
      <c r="J10">
        <f t="shared" si="0"/>
        <v>4</v>
      </c>
      <c r="K10" t="s">
        <v>111</v>
      </c>
      <c r="L10">
        <v>1</v>
      </c>
      <c r="M10">
        <v>1</v>
      </c>
      <c r="N10">
        <v>1</v>
      </c>
      <c r="O10">
        <f t="shared" si="1"/>
        <v>3</v>
      </c>
    </row>
    <row r="11" spans="1:15">
      <c r="A11" t="s">
        <v>90</v>
      </c>
      <c r="B11" t="s">
        <v>20</v>
      </c>
      <c r="C11">
        <v>1</v>
      </c>
      <c r="D11" t="s">
        <v>22</v>
      </c>
      <c r="E11">
        <v>1</v>
      </c>
      <c r="F11" t="s">
        <v>24</v>
      </c>
      <c r="G11">
        <v>1</v>
      </c>
      <c r="H11" t="s">
        <v>26</v>
      </c>
      <c r="I11">
        <v>1</v>
      </c>
      <c r="J11">
        <f t="shared" si="0"/>
        <v>4</v>
      </c>
      <c r="K11" t="s">
        <v>111</v>
      </c>
      <c r="L11">
        <v>1</v>
      </c>
      <c r="M11">
        <v>1</v>
      </c>
      <c r="N11">
        <v>1</v>
      </c>
      <c r="O11">
        <f t="shared" si="1"/>
        <v>3</v>
      </c>
    </row>
    <row r="12" spans="1:15">
      <c r="A12" t="s">
        <v>91</v>
      </c>
      <c r="B12" t="s">
        <v>20</v>
      </c>
      <c r="C12">
        <v>1</v>
      </c>
      <c r="D12" t="s">
        <v>22</v>
      </c>
      <c r="E12">
        <v>1</v>
      </c>
      <c r="F12" t="s">
        <v>24</v>
      </c>
      <c r="G12">
        <v>1</v>
      </c>
      <c r="H12" t="s">
        <v>26</v>
      </c>
      <c r="I12">
        <v>1</v>
      </c>
      <c r="J12">
        <f t="shared" si="0"/>
        <v>4</v>
      </c>
      <c r="K12" t="s">
        <v>111</v>
      </c>
      <c r="L12">
        <v>1</v>
      </c>
      <c r="M12">
        <v>1</v>
      </c>
      <c r="N12">
        <v>1</v>
      </c>
      <c r="O12">
        <f t="shared" si="1"/>
        <v>3</v>
      </c>
    </row>
    <row r="13" spans="1:15">
      <c r="A13" t="s">
        <v>92</v>
      </c>
      <c r="B13" t="s">
        <v>20</v>
      </c>
      <c r="C13">
        <v>1</v>
      </c>
      <c r="D13" t="s">
        <v>22</v>
      </c>
      <c r="E13">
        <v>1</v>
      </c>
      <c r="F13" t="s">
        <v>24</v>
      </c>
      <c r="G13">
        <v>1</v>
      </c>
      <c r="H13" t="s">
        <v>26</v>
      </c>
      <c r="I13">
        <v>1</v>
      </c>
      <c r="J13">
        <f t="shared" si="0"/>
        <v>4</v>
      </c>
      <c r="K13" t="s">
        <v>111</v>
      </c>
      <c r="L13">
        <v>1</v>
      </c>
      <c r="M13">
        <v>1</v>
      </c>
      <c r="N13">
        <v>1</v>
      </c>
      <c r="O13">
        <f t="shared" si="1"/>
        <v>3</v>
      </c>
    </row>
    <row r="14" spans="1:15">
      <c r="A14" t="s">
        <v>93</v>
      </c>
      <c r="B14" t="s">
        <v>116</v>
      </c>
      <c r="C14">
        <v>0</v>
      </c>
      <c r="D14" t="s">
        <v>22</v>
      </c>
      <c r="E14">
        <v>1</v>
      </c>
      <c r="F14" t="s">
        <v>24</v>
      </c>
      <c r="G14">
        <v>1</v>
      </c>
      <c r="H14" t="s">
        <v>26</v>
      </c>
      <c r="I14">
        <v>1</v>
      </c>
      <c r="J14">
        <f t="shared" si="0"/>
        <v>3</v>
      </c>
      <c r="K14" t="s">
        <v>111</v>
      </c>
      <c r="L14">
        <v>1</v>
      </c>
      <c r="M14">
        <v>1</v>
      </c>
      <c r="N14">
        <v>1</v>
      </c>
      <c r="O14">
        <f t="shared" si="1"/>
        <v>3</v>
      </c>
    </row>
    <row r="15" spans="1:15">
      <c r="A15" t="s">
        <v>94</v>
      </c>
      <c r="B15" t="s">
        <v>20</v>
      </c>
      <c r="C15">
        <v>1</v>
      </c>
      <c r="D15" t="s">
        <v>22</v>
      </c>
      <c r="E15">
        <v>1</v>
      </c>
      <c r="F15" t="s">
        <v>24</v>
      </c>
      <c r="G15">
        <v>1</v>
      </c>
      <c r="H15" t="s">
        <v>26</v>
      </c>
      <c r="I15">
        <v>1</v>
      </c>
      <c r="J15">
        <f t="shared" si="0"/>
        <v>4</v>
      </c>
      <c r="K15" t="s">
        <v>111</v>
      </c>
      <c r="L15">
        <v>1</v>
      </c>
      <c r="M15">
        <v>1</v>
      </c>
      <c r="N15">
        <v>1</v>
      </c>
      <c r="O15">
        <f t="shared" si="1"/>
        <v>3</v>
      </c>
    </row>
    <row r="16" spans="1:15">
      <c r="A16" t="s">
        <v>95</v>
      </c>
      <c r="B16" t="s">
        <v>20</v>
      </c>
      <c r="C16">
        <v>1</v>
      </c>
      <c r="D16" t="s">
        <v>22</v>
      </c>
      <c r="E16">
        <v>1</v>
      </c>
      <c r="F16" t="s">
        <v>24</v>
      </c>
      <c r="G16">
        <v>1</v>
      </c>
      <c r="H16" t="s">
        <v>26</v>
      </c>
      <c r="I16">
        <v>1</v>
      </c>
      <c r="J16">
        <f t="shared" si="0"/>
        <v>4</v>
      </c>
      <c r="K16" t="s">
        <v>111</v>
      </c>
      <c r="L16">
        <v>1</v>
      </c>
      <c r="M16">
        <v>1</v>
      </c>
      <c r="N16">
        <v>1</v>
      </c>
      <c r="O16">
        <f t="shared" si="1"/>
        <v>3</v>
      </c>
    </row>
    <row r="17" spans="1:15">
      <c r="A17" t="s">
        <v>96</v>
      </c>
      <c r="B17" t="s">
        <v>20</v>
      </c>
      <c r="C17">
        <v>1</v>
      </c>
      <c r="D17" t="s">
        <v>22</v>
      </c>
      <c r="E17">
        <v>1</v>
      </c>
      <c r="F17" t="s">
        <v>24</v>
      </c>
      <c r="G17">
        <v>1</v>
      </c>
      <c r="H17" t="s">
        <v>26</v>
      </c>
      <c r="I17">
        <v>1</v>
      </c>
      <c r="J17">
        <f t="shared" si="0"/>
        <v>4</v>
      </c>
      <c r="K17" t="s">
        <v>111</v>
      </c>
      <c r="L17">
        <v>1</v>
      </c>
      <c r="M17">
        <v>1</v>
      </c>
      <c r="N17">
        <v>1</v>
      </c>
      <c r="O17">
        <f t="shared" si="1"/>
        <v>3</v>
      </c>
    </row>
    <row r="18" spans="1:15">
      <c r="A18" t="s">
        <v>97</v>
      </c>
      <c r="B18" t="s">
        <v>20</v>
      </c>
      <c r="C18">
        <v>1</v>
      </c>
      <c r="D18" t="s">
        <v>22</v>
      </c>
      <c r="E18">
        <v>1</v>
      </c>
      <c r="F18" t="s">
        <v>24</v>
      </c>
      <c r="G18">
        <v>1</v>
      </c>
      <c r="H18" t="s">
        <v>26</v>
      </c>
      <c r="I18">
        <v>1</v>
      </c>
      <c r="J18">
        <f t="shared" si="0"/>
        <v>4</v>
      </c>
      <c r="K18" t="s">
        <v>111</v>
      </c>
      <c r="L18">
        <v>1</v>
      </c>
      <c r="M18">
        <v>1</v>
      </c>
      <c r="N18">
        <v>1</v>
      </c>
      <c r="O18">
        <f t="shared" si="1"/>
        <v>3</v>
      </c>
    </row>
    <row r="19" spans="1:15">
      <c r="A19" t="s">
        <v>98</v>
      </c>
      <c r="B19" t="s">
        <v>20</v>
      </c>
      <c r="C19">
        <v>1</v>
      </c>
      <c r="D19" t="s">
        <v>22</v>
      </c>
      <c r="E19">
        <v>1</v>
      </c>
      <c r="F19" t="s">
        <v>24</v>
      </c>
      <c r="G19">
        <v>1</v>
      </c>
      <c r="H19" t="s">
        <v>26</v>
      </c>
      <c r="I19">
        <v>1</v>
      </c>
      <c r="J19">
        <f t="shared" si="0"/>
        <v>4</v>
      </c>
      <c r="K19" t="s">
        <v>111</v>
      </c>
      <c r="L19">
        <v>1</v>
      </c>
      <c r="M19">
        <v>1</v>
      </c>
      <c r="N19">
        <v>1</v>
      </c>
      <c r="O19">
        <f t="shared" si="1"/>
        <v>3</v>
      </c>
    </row>
    <row r="20" spans="1:15">
      <c r="A20" t="s">
        <v>99</v>
      </c>
      <c r="B20" t="s">
        <v>20</v>
      </c>
      <c r="C20">
        <v>1</v>
      </c>
      <c r="D20" t="s">
        <v>22</v>
      </c>
      <c r="E20">
        <v>1</v>
      </c>
      <c r="F20" t="s">
        <v>24</v>
      </c>
      <c r="G20">
        <v>1</v>
      </c>
      <c r="H20" t="s">
        <v>26</v>
      </c>
      <c r="I20">
        <v>1</v>
      </c>
      <c r="J20">
        <f t="shared" si="0"/>
        <v>4</v>
      </c>
      <c r="K20" t="s">
        <v>111</v>
      </c>
      <c r="L20">
        <v>1</v>
      </c>
      <c r="M20">
        <v>1</v>
      </c>
      <c r="N20">
        <v>1</v>
      </c>
      <c r="O20">
        <f t="shared" si="1"/>
        <v>3</v>
      </c>
    </row>
    <row r="21" spans="1:15">
      <c r="A21" t="s">
        <v>100</v>
      </c>
      <c r="B21" t="s">
        <v>20</v>
      </c>
      <c r="C21">
        <v>1</v>
      </c>
      <c r="D21" t="s">
        <v>22</v>
      </c>
      <c r="E21">
        <v>1</v>
      </c>
      <c r="F21" t="s">
        <v>24</v>
      </c>
      <c r="G21">
        <v>1</v>
      </c>
      <c r="H21" t="s">
        <v>26</v>
      </c>
      <c r="I21">
        <v>1</v>
      </c>
      <c r="J21">
        <f t="shared" si="0"/>
        <v>4</v>
      </c>
      <c r="K21" t="s">
        <v>111</v>
      </c>
      <c r="L21">
        <v>1</v>
      </c>
      <c r="M21">
        <v>1</v>
      </c>
      <c r="N21">
        <v>1</v>
      </c>
      <c r="O21">
        <f t="shared" si="1"/>
        <v>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29"/>
  <sheetViews>
    <sheetView topLeftCell="A6" zoomScale="211" workbookViewId="0">
      <selection activeCell="F15" sqref="F15"/>
    </sheetView>
  </sheetViews>
  <sheetFormatPr baseColWidth="10" defaultColWidth="8.83203125" defaultRowHeight="14"/>
  <cols>
    <col min="1" max="1" width="10" customWidth="1"/>
    <col min="2" max="2" width="75" customWidth="1"/>
    <col min="3" max="7" width="8" customWidth="1"/>
    <col min="8" max="8" width="10" customWidth="1"/>
    <col min="9" max="9" width="35" customWidth="1"/>
  </cols>
  <sheetData>
    <row r="1" spans="1:10" ht="18">
      <c r="A1" s="13" t="s">
        <v>117</v>
      </c>
      <c r="B1" s="13"/>
      <c r="C1" s="13"/>
      <c r="D1" s="13"/>
      <c r="E1" s="13"/>
      <c r="F1" s="13"/>
      <c r="G1" s="13"/>
      <c r="H1" s="13"/>
      <c r="I1" s="13"/>
      <c r="J1" s="13"/>
    </row>
    <row r="2" spans="1:10" ht="16">
      <c r="A2" s="3" t="s">
        <v>34</v>
      </c>
      <c r="B2" s="3" t="s">
        <v>35</v>
      </c>
      <c r="C2" s="3" t="s">
        <v>36</v>
      </c>
    </row>
    <row r="3" spans="1:10" ht="15">
      <c r="A3" s="2" t="s">
        <v>37</v>
      </c>
      <c r="B3" s="2" t="s">
        <v>38</v>
      </c>
      <c r="C3" s="2">
        <v>0.5</v>
      </c>
    </row>
    <row r="4" spans="1:10" ht="15">
      <c r="A4" s="2" t="s">
        <v>39</v>
      </c>
      <c r="B4" s="2" t="s">
        <v>40</v>
      </c>
      <c r="C4" s="2">
        <v>0.5</v>
      </c>
    </row>
    <row r="5" spans="1:10" ht="30">
      <c r="A5" s="2" t="s">
        <v>41</v>
      </c>
      <c r="B5" s="2" t="s">
        <v>42</v>
      </c>
      <c r="C5" s="2">
        <v>0.5</v>
      </c>
    </row>
    <row r="6" spans="1:10" ht="15">
      <c r="A6" s="2" t="s">
        <v>43</v>
      </c>
      <c r="B6" s="2" t="s">
        <v>276</v>
      </c>
      <c r="C6" s="2">
        <v>0.5</v>
      </c>
    </row>
    <row r="7" spans="1:10" ht="30">
      <c r="A7" s="2" t="s">
        <v>45</v>
      </c>
      <c r="B7" s="2" t="s">
        <v>46</v>
      </c>
      <c r="C7" s="2">
        <v>0.5</v>
      </c>
    </row>
    <row r="9" spans="1:10" ht="16">
      <c r="A9" s="3" t="s">
        <v>73</v>
      </c>
      <c r="B9" s="3" t="s">
        <v>118</v>
      </c>
      <c r="C9" s="3" t="s">
        <v>37</v>
      </c>
      <c r="D9" s="3" t="s">
        <v>39</v>
      </c>
      <c r="E9" s="3" t="s">
        <v>41</v>
      </c>
      <c r="F9" s="3" t="s">
        <v>43</v>
      </c>
      <c r="G9" s="3" t="s">
        <v>45</v>
      </c>
      <c r="H9" s="3" t="s">
        <v>119</v>
      </c>
      <c r="I9" s="3" t="s">
        <v>120</v>
      </c>
    </row>
    <row r="10" spans="1:10" ht="60">
      <c r="A10" s="2" t="s">
        <v>77</v>
      </c>
      <c r="B10" s="2" t="s">
        <v>121</v>
      </c>
      <c r="C10" s="2">
        <v>0.5</v>
      </c>
      <c r="D10" s="2">
        <v>0.5</v>
      </c>
      <c r="E10" s="2">
        <v>0.5</v>
      </c>
      <c r="F10" s="2">
        <v>0.5</v>
      </c>
      <c r="G10" s="2">
        <v>0.5</v>
      </c>
      <c r="H10" s="2">
        <f t="shared" ref="H10:H29" si="0">SUM(C10:G10)</f>
        <v>2.5</v>
      </c>
      <c r="I10" s="2"/>
    </row>
    <row r="11" spans="1:10" ht="45">
      <c r="A11" s="2" t="s">
        <v>80</v>
      </c>
      <c r="B11" s="2" t="s">
        <v>122</v>
      </c>
      <c r="C11" s="2">
        <v>0</v>
      </c>
      <c r="D11" s="2">
        <v>0</v>
      </c>
      <c r="E11" s="2">
        <v>0.5</v>
      </c>
      <c r="F11" s="2">
        <v>0.5</v>
      </c>
      <c r="G11" s="2">
        <v>0.5</v>
      </c>
      <c r="H11" s="2">
        <f t="shared" si="0"/>
        <v>1.5</v>
      </c>
      <c r="I11" s="2"/>
    </row>
    <row r="12" spans="1:10" ht="45">
      <c r="A12" s="2" t="s">
        <v>81</v>
      </c>
      <c r="B12" s="2" t="s">
        <v>123</v>
      </c>
      <c r="C12" s="2">
        <v>0</v>
      </c>
      <c r="D12" s="2">
        <v>0</v>
      </c>
      <c r="E12" s="2">
        <v>0</v>
      </c>
      <c r="F12" s="2">
        <v>0.5</v>
      </c>
      <c r="G12" s="2">
        <v>0</v>
      </c>
      <c r="H12" s="2">
        <f t="shared" si="0"/>
        <v>0.5</v>
      </c>
      <c r="I12" s="2"/>
    </row>
    <row r="13" spans="1:10" ht="60">
      <c r="A13" s="2" t="s">
        <v>84</v>
      </c>
      <c r="B13" s="2" t="s">
        <v>124</v>
      </c>
      <c r="C13" s="2">
        <v>0</v>
      </c>
      <c r="D13" s="2">
        <v>0.5</v>
      </c>
      <c r="E13" s="2">
        <v>0.5</v>
      </c>
      <c r="F13" s="2">
        <v>0.5</v>
      </c>
      <c r="G13" s="2">
        <v>0.5</v>
      </c>
      <c r="H13" s="2">
        <f t="shared" si="0"/>
        <v>2</v>
      </c>
      <c r="I13" s="2"/>
    </row>
    <row r="14" spans="1:10" ht="30">
      <c r="A14" s="2" t="s">
        <v>85</v>
      </c>
      <c r="B14" s="2" t="s">
        <v>125</v>
      </c>
      <c r="C14" s="2">
        <v>0</v>
      </c>
      <c r="D14" s="2">
        <v>0</v>
      </c>
      <c r="E14" s="2">
        <v>0</v>
      </c>
      <c r="F14" s="2">
        <v>0</v>
      </c>
      <c r="G14" s="2">
        <v>0.5</v>
      </c>
      <c r="H14" s="2">
        <f t="shared" si="0"/>
        <v>0.5</v>
      </c>
      <c r="I14" s="2"/>
    </row>
    <row r="15" spans="1:10" ht="45">
      <c r="A15" s="2" t="s">
        <v>86</v>
      </c>
      <c r="B15" s="2" t="s">
        <v>126</v>
      </c>
      <c r="C15" s="2">
        <v>0</v>
      </c>
      <c r="D15" s="2">
        <v>0.5</v>
      </c>
      <c r="E15" s="2">
        <v>0</v>
      </c>
      <c r="F15" s="2">
        <v>0.5</v>
      </c>
      <c r="G15" s="2">
        <v>0</v>
      </c>
      <c r="H15" s="2">
        <f t="shared" si="0"/>
        <v>1</v>
      </c>
      <c r="I15" s="2"/>
    </row>
    <row r="16" spans="1:10" ht="60">
      <c r="A16" s="2" t="s">
        <v>87</v>
      </c>
      <c r="B16" s="2" t="s">
        <v>127</v>
      </c>
      <c r="C16" s="2">
        <v>0.5</v>
      </c>
      <c r="D16" s="2">
        <v>0.5</v>
      </c>
      <c r="E16" s="2">
        <v>0.5</v>
      </c>
      <c r="F16" s="2">
        <v>0.5</v>
      </c>
      <c r="G16" s="2">
        <v>0.5</v>
      </c>
      <c r="H16" s="2">
        <f t="shared" si="0"/>
        <v>2.5</v>
      </c>
      <c r="I16" s="2"/>
    </row>
    <row r="17" spans="1:9" ht="45">
      <c r="A17" s="2" t="s">
        <v>88</v>
      </c>
      <c r="B17" s="2" t="s">
        <v>128</v>
      </c>
      <c r="C17" s="2">
        <v>0.5</v>
      </c>
      <c r="D17" s="2">
        <v>0.5</v>
      </c>
      <c r="E17" s="2">
        <v>0.5</v>
      </c>
      <c r="F17" s="2">
        <v>0.5</v>
      </c>
      <c r="G17" s="2">
        <v>0.5</v>
      </c>
      <c r="H17" s="2">
        <f t="shared" si="0"/>
        <v>2.5</v>
      </c>
      <c r="I17" s="2"/>
    </row>
    <row r="18" spans="1:9" ht="60">
      <c r="A18" s="2" t="s">
        <v>89</v>
      </c>
      <c r="B18" s="2" t="s">
        <v>129</v>
      </c>
      <c r="C18" s="2">
        <v>0.5</v>
      </c>
      <c r="D18" s="2">
        <v>0.5</v>
      </c>
      <c r="E18" s="2">
        <v>0.5</v>
      </c>
      <c r="F18" s="2">
        <v>0.5</v>
      </c>
      <c r="G18" s="2">
        <v>0</v>
      </c>
      <c r="H18" s="2">
        <f t="shared" si="0"/>
        <v>2</v>
      </c>
      <c r="I18" s="2"/>
    </row>
    <row r="19" spans="1:9" ht="60">
      <c r="A19" s="2" t="s">
        <v>90</v>
      </c>
      <c r="B19" s="2" t="s">
        <v>130</v>
      </c>
      <c r="C19" s="2">
        <v>0</v>
      </c>
      <c r="D19" s="2">
        <v>0.5</v>
      </c>
      <c r="E19" s="2">
        <v>0.5</v>
      </c>
      <c r="F19" s="2">
        <v>0.5</v>
      </c>
      <c r="G19" s="2">
        <v>0.5</v>
      </c>
      <c r="H19" s="2">
        <f t="shared" si="0"/>
        <v>2</v>
      </c>
      <c r="I19" s="2"/>
    </row>
    <row r="20" spans="1:9" ht="60">
      <c r="A20" s="2" t="s">
        <v>91</v>
      </c>
      <c r="B20" s="2" t="s">
        <v>131</v>
      </c>
      <c r="C20" s="2">
        <v>0.5</v>
      </c>
      <c r="D20" s="2">
        <v>0.5</v>
      </c>
      <c r="E20" s="2">
        <v>0.5</v>
      </c>
      <c r="F20" s="2">
        <v>0.5</v>
      </c>
      <c r="G20" s="2">
        <v>0</v>
      </c>
      <c r="H20" s="2">
        <f t="shared" si="0"/>
        <v>2</v>
      </c>
      <c r="I20" s="2"/>
    </row>
    <row r="21" spans="1:9" ht="60">
      <c r="A21" s="2" t="s">
        <v>92</v>
      </c>
      <c r="B21" s="2" t="s">
        <v>132</v>
      </c>
      <c r="C21" s="2">
        <v>0.5</v>
      </c>
      <c r="D21" s="2">
        <v>0.5</v>
      </c>
      <c r="E21" s="2">
        <v>0.5</v>
      </c>
      <c r="F21" s="2">
        <v>0.5</v>
      </c>
      <c r="G21" s="2">
        <v>0.5</v>
      </c>
      <c r="H21" s="2">
        <f t="shared" si="0"/>
        <v>2.5</v>
      </c>
      <c r="I21" s="2"/>
    </row>
    <row r="22" spans="1:9" ht="75">
      <c r="A22" s="2" t="s">
        <v>93</v>
      </c>
      <c r="B22" s="2" t="s">
        <v>133</v>
      </c>
      <c r="C22" s="2">
        <v>0.5</v>
      </c>
      <c r="D22" s="2">
        <v>0.5</v>
      </c>
      <c r="E22" s="2">
        <v>0.5</v>
      </c>
      <c r="F22" s="2">
        <v>0.5</v>
      </c>
      <c r="G22" s="2">
        <v>0.5</v>
      </c>
      <c r="H22" s="2">
        <f t="shared" si="0"/>
        <v>2.5</v>
      </c>
      <c r="I22" s="2"/>
    </row>
    <row r="23" spans="1:9" ht="45">
      <c r="A23" s="2" t="s">
        <v>94</v>
      </c>
      <c r="B23" s="2" t="s">
        <v>134</v>
      </c>
      <c r="C23" s="2">
        <v>0.5</v>
      </c>
      <c r="D23" s="2">
        <v>0.5</v>
      </c>
      <c r="E23" s="2">
        <v>0.5</v>
      </c>
      <c r="F23" s="2">
        <v>0.5</v>
      </c>
      <c r="G23" s="2">
        <v>0.5</v>
      </c>
      <c r="H23" s="2">
        <f t="shared" si="0"/>
        <v>2.5</v>
      </c>
      <c r="I23" s="2"/>
    </row>
    <row r="24" spans="1:9" ht="75">
      <c r="A24" s="2" t="s">
        <v>95</v>
      </c>
      <c r="B24" s="2" t="s">
        <v>135</v>
      </c>
      <c r="C24" s="2">
        <v>0.5</v>
      </c>
      <c r="D24" s="2">
        <v>0.5</v>
      </c>
      <c r="E24" s="2">
        <v>0.5</v>
      </c>
      <c r="F24" s="2">
        <v>0.5</v>
      </c>
      <c r="G24" s="2">
        <v>0</v>
      </c>
      <c r="H24" s="2">
        <f t="shared" si="0"/>
        <v>2</v>
      </c>
      <c r="I24" s="2"/>
    </row>
    <row r="25" spans="1:9" ht="60">
      <c r="A25" s="2" t="s">
        <v>96</v>
      </c>
      <c r="B25" s="2" t="s">
        <v>136</v>
      </c>
      <c r="C25" s="16">
        <v>0.5</v>
      </c>
      <c r="D25" s="16">
        <v>0.5</v>
      </c>
      <c r="E25" s="16">
        <v>0.5</v>
      </c>
      <c r="F25" s="16">
        <v>0.5</v>
      </c>
      <c r="G25" s="16">
        <v>0.5</v>
      </c>
      <c r="H25" s="2">
        <f t="shared" si="0"/>
        <v>2.5</v>
      </c>
      <c r="I25" s="2"/>
    </row>
    <row r="26" spans="1:9" ht="75">
      <c r="A26" s="2" t="s">
        <v>97</v>
      </c>
      <c r="B26" s="2" t="s">
        <v>137</v>
      </c>
      <c r="C26" s="16">
        <v>0.5</v>
      </c>
      <c r="D26" s="16">
        <v>0.5</v>
      </c>
      <c r="E26" s="16">
        <v>0.5</v>
      </c>
      <c r="F26" s="16">
        <v>0.5</v>
      </c>
      <c r="G26" s="16">
        <v>0.5</v>
      </c>
      <c r="H26" s="2">
        <f t="shared" si="0"/>
        <v>2.5</v>
      </c>
      <c r="I26" s="2"/>
    </row>
    <row r="27" spans="1:9" ht="60">
      <c r="A27" s="2" t="s">
        <v>98</v>
      </c>
      <c r="B27" s="2" t="s">
        <v>138</v>
      </c>
      <c r="C27" s="16">
        <v>0.5</v>
      </c>
      <c r="D27" s="16">
        <v>0.5</v>
      </c>
      <c r="E27" s="16">
        <v>0.5</v>
      </c>
      <c r="F27" s="16">
        <v>0.5</v>
      </c>
      <c r="G27" s="16">
        <v>0.5</v>
      </c>
      <c r="H27" s="2">
        <f t="shared" si="0"/>
        <v>2.5</v>
      </c>
      <c r="I27" s="2"/>
    </row>
    <row r="28" spans="1:9" ht="75">
      <c r="A28" s="2" t="s">
        <v>99</v>
      </c>
      <c r="B28" s="2" t="s">
        <v>139</v>
      </c>
      <c r="C28" s="16">
        <v>0.5</v>
      </c>
      <c r="D28" s="16">
        <v>0.5</v>
      </c>
      <c r="E28" s="16">
        <v>0.5</v>
      </c>
      <c r="F28" s="16">
        <v>0.5</v>
      </c>
      <c r="G28" s="16">
        <v>0.5</v>
      </c>
      <c r="H28" s="2">
        <f t="shared" si="0"/>
        <v>2.5</v>
      </c>
      <c r="I28" s="2"/>
    </row>
    <row r="29" spans="1:9" ht="45">
      <c r="A29" s="2" t="s">
        <v>100</v>
      </c>
      <c r="B29" s="2" t="s">
        <v>140</v>
      </c>
      <c r="C29" s="16">
        <v>0.5</v>
      </c>
      <c r="D29" s="16">
        <v>0.5</v>
      </c>
      <c r="E29" s="16">
        <v>0.5</v>
      </c>
      <c r="F29" s="16">
        <v>0.5</v>
      </c>
      <c r="G29" s="16">
        <v>0.5</v>
      </c>
      <c r="H29" s="2">
        <f t="shared" si="0"/>
        <v>2.5</v>
      </c>
      <c r="I29" s="2"/>
    </row>
  </sheetData>
  <mergeCells count="1">
    <mergeCell ref="A1:J1"/>
  </mergeCells>
  <dataValidations count="1">
    <dataValidation type="list" sqref="C10:G24" xr:uid="{00000000-0002-0000-0400-000000000000}">
      <formula1>"0,0.5"</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28"/>
  <sheetViews>
    <sheetView topLeftCell="A27" zoomScale="200" workbookViewId="0">
      <selection activeCell="F29" sqref="F29"/>
    </sheetView>
  </sheetViews>
  <sheetFormatPr baseColWidth="10" defaultColWidth="8.83203125" defaultRowHeight="14"/>
  <cols>
    <col min="1" max="1" width="10" customWidth="1"/>
    <col min="2" max="2" width="75" customWidth="1"/>
    <col min="3" max="6" width="8" customWidth="1"/>
    <col min="7" max="7" width="10" customWidth="1"/>
    <col min="8" max="8" width="35" customWidth="1"/>
  </cols>
  <sheetData>
    <row r="1" spans="1:10" ht="18">
      <c r="A1" s="13" t="s">
        <v>141</v>
      </c>
      <c r="B1" s="13"/>
      <c r="C1" s="13"/>
      <c r="D1" s="13"/>
      <c r="E1" s="13"/>
      <c r="F1" s="13"/>
      <c r="G1" s="13"/>
      <c r="H1" s="13"/>
      <c r="I1" s="13"/>
      <c r="J1" s="13"/>
    </row>
    <row r="2" spans="1:10" ht="16">
      <c r="A2" s="3" t="s">
        <v>34</v>
      </c>
      <c r="B2" s="3" t="s">
        <v>35</v>
      </c>
      <c r="C2" s="3" t="s">
        <v>36</v>
      </c>
    </row>
    <row r="3" spans="1:10" ht="15">
      <c r="A3" s="2" t="s">
        <v>37</v>
      </c>
      <c r="B3" s="2" t="s">
        <v>48</v>
      </c>
      <c r="C3" s="2">
        <v>0.5</v>
      </c>
    </row>
    <row r="4" spans="1:10" ht="15">
      <c r="A4" s="2" t="s">
        <v>39</v>
      </c>
      <c r="B4" s="2" t="s">
        <v>49</v>
      </c>
      <c r="C4" s="2">
        <v>0.5</v>
      </c>
    </row>
    <row r="5" spans="1:10" ht="15">
      <c r="A5" s="2" t="s">
        <v>41</v>
      </c>
      <c r="B5" s="2" t="s">
        <v>50</v>
      </c>
      <c r="C5" s="2">
        <v>0.5</v>
      </c>
    </row>
    <row r="6" spans="1:10" ht="15">
      <c r="A6" s="2" t="s">
        <v>43</v>
      </c>
      <c r="B6" s="2" t="s">
        <v>51</v>
      </c>
      <c r="C6" s="2">
        <v>0.5</v>
      </c>
    </row>
    <row r="8" spans="1:10" ht="16">
      <c r="A8" s="3" t="s">
        <v>73</v>
      </c>
      <c r="B8" s="3" t="s">
        <v>118</v>
      </c>
      <c r="C8" s="3" t="s">
        <v>37</v>
      </c>
      <c r="D8" s="3" t="s">
        <v>39</v>
      </c>
      <c r="E8" s="3" t="s">
        <v>41</v>
      </c>
      <c r="F8" s="3" t="s">
        <v>43</v>
      </c>
      <c r="G8" s="3" t="s">
        <v>119</v>
      </c>
      <c r="H8" s="3" t="s">
        <v>120</v>
      </c>
    </row>
    <row r="9" spans="1:10" ht="409.6">
      <c r="A9" s="2" t="s">
        <v>77</v>
      </c>
      <c r="B9" s="2" t="s">
        <v>142</v>
      </c>
      <c r="C9" s="2">
        <v>0.5</v>
      </c>
      <c r="D9" s="2">
        <v>0.5</v>
      </c>
      <c r="E9" s="2">
        <v>0.5</v>
      </c>
      <c r="F9" s="2">
        <v>0.5</v>
      </c>
      <c r="G9" s="2">
        <f t="shared" ref="G9:G28" si="0">SUM(C9:F9)</f>
        <v>2</v>
      </c>
      <c r="H9" s="2"/>
    </row>
    <row r="10" spans="1:10" ht="409.6">
      <c r="A10" s="2" t="s">
        <v>80</v>
      </c>
      <c r="B10" s="2" t="s">
        <v>142</v>
      </c>
      <c r="C10" s="2">
        <v>0.5</v>
      </c>
      <c r="D10" s="2">
        <v>0.5</v>
      </c>
      <c r="E10" s="2">
        <v>0.5</v>
      </c>
      <c r="F10" s="2">
        <v>0.5</v>
      </c>
      <c r="G10" s="2">
        <f t="shared" si="0"/>
        <v>2</v>
      </c>
      <c r="H10" s="2"/>
    </row>
    <row r="11" spans="1:10" ht="328">
      <c r="A11" s="2" t="s">
        <v>81</v>
      </c>
      <c r="B11" s="2" t="s">
        <v>143</v>
      </c>
      <c r="C11" s="2">
        <v>0.5</v>
      </c>
      <c r="D11" s="2">
        <v>0.5</v>
      </c>
      <c r="E11" s="2">
        <v>0.5</v>
      </c>
      <c r="F11" s="2">
        <v>0.5</v>
      </c>
      <c r="G11" s="2">
        <f t="shared" si="0"/>
        <v>2</v>
      </c>
      <c r="H11" s="2"/>
    </row>
    <row r="12" spans="1:10" ht="356">
      <c r="A12" s="2" t="s">
        <v>84</v>
      </c>
      <c r="B12" s="2" t="s">
        <v>144</v>
      </c>
      <c r="C12" s="2">
        <v>0.5</v>
      </c>
      <c r="D12" s="2">
        <v>0</v>
      </c>
      <c r="E12" s="2">
        <v>0.5</v>
      </c>
      <c r="F12" s="2">
        <v>0.5</v>
      </c>
      <c r="G12" s="2">
        <f t="shared" si="0"/>
        <v>1.5</v>
      </c>
      <c r="H12" s="2"/>
    </row>
    <row r="13" spans="1:10" ht="356">
      <c r="A13" s="2" t="s">
        <v>85</v>
      </c>
      <c r="B13" s="2" t="s">
        <v>145</v>
      </c>
      <c r="C13" s="2">
        <v>0</v>
      </c>
      <c r="D13" s="2">
        <v>0.5</v>
      </c>
      <c r="E13" s="2">
        <v>0.5</v>
      </c>
      <c r="F13" s="2">
        <v>0</v>
      </c>
      <c r="G13" s="2">
        <f t="shared" si="0"/>
        <v>1</v>
      </c>
      <c r="H13" s="2"/>
    </row>
    <row r="14" spans="1:10" ht="356">
      <c r="A14" s="2" t="s">
        <v>86</v>
      </c>
      <c r="B14" s="2" t="s">
        <v>146</v>
      </c>
      <c r="C14" s="2">
        <v>0.5</v>
      </c>
      <c r="D14" s="2">
        <v>0.5</v>
      </c>
      <c r="E14" s="2">
        <v>0.5</v>
      </c>
      <c r="F14" s="2">
        <v>0.5</v>
      </c>
      <c r="G14" s="2">
        <f>SUM(C14:F14)</f>
        <v>2</v>
      </c>
      <c r="H14" s="2"/>
    </row>
    <row r="15" spans="1:10" ht="356">
      <c r="A15" s="2" t="s">
        <v>87</v>
      </c>
      <c r="B15" s="2" t="s">
        <v>147</v>
      </c>
      <c r="C15" s="2">
        <v>0</v>
      </c>
      <c r="D15" s="2">
        <v>0.5</v>
      </c>
      <c r="E15" s="2">
        <v>0.5</v>
      </c>
      <c r="F15" s="2">
        <v>0</v>
      </c>
      <c r="G15" s="2">
        <f t="shared" si="0"/>
        <v>1</v>
      </c>
      <c r="H15" s="2"/>
    </row>
    <row r="16" spans="1:10" ht="356">
      <c r="A16" s="2" t="s">
        <v>88</v>
      </c>
      <c r="B16" s="2" t="s">
        <v>148</v>
      </c>
      <c r="C16" s="16">
        <v>0.5</v>
      </c>
      <c r="D16" s="16">
        <v>0.5</v>
      </c>
      <c r="E16" s="16">
        <v>0.5</v>
      </c>
      <c r="F16" s="16">
        <v>0.5</v>
      </c>
      <c r="G16" s="2">
        <f t="shared" si="0"/>
        <v>2</v>
      </c>
      <c r="H16" s="2"/>
    </row>
    <row r="17" spans="1:8" ht="356">
      <c r="A17" s="2" t="s">
        <v>89</v>
      </c>
      <c r="B17" s="2" t="s">
        <v>149</v>
      </c>
      <c r="C17" s="16">
        <v>0.5</v>
      </c>
      <c r="D17" s="16">
        <v>0.5</v>
      </c>
      <c r="E17" s="16">
        <v>0.5</v>
      </c>
      <c r="F17" s="16">
        <v>0.5</v>
      </c>
      <c r="G17" s="2">
        <f t="shared" si="0"/>
        <v>2</v>
      </c>
      <c r="H17" s="2"/>
    </row>
    <row r="18" spans="1:8" ht="384">
      <c r="A18" s="2" t="s">
        <v>90</v>
      </c>
      <c r="B18" s="2" t="s">
        <v>150</v>
      </c>
      <c r="C18" s="16">
        <v>0.5</v>
      </c>
      <c r="D18" s="16">
        <v>0.5</v>
      </c>
      <c r="E18" s="16">
        <v>0.5</v>
      </c>
      <c r="F18" s="16">
        <v>0.5</v>
      </c>
      <c r="G18" s="2">
        <f t="shared" si="0"/>
        <v>2</v>
      </c>
      <c r="H18" s="2"/>
    </row>
    <row r="19" spans="1:8" ht="240">
      <c r="A19" s="2" t="s">
        <v>91</v>
      </c>
      <c r="B19" s="2" t="s">
        <v>151</v>
      </c>
      <c r="C19" s="16">
        <v>0.5</v>
      </c>
      <c r="D19" s="16">
        <v>0.5</v>
      </c>
      <c r="E19" s="16">
        <v>0.5</v>
      </c>
      <c r="F19" s="16">
        <v>0.5</v>
      </c>
      <c r="G19" s="2">
        <f t="shared" si="0"/>
        <v>2</v>
      </c>
      <c r="H19" s="2"/>
    </row>
    <row r="20" spans="1:8" ht="356">
      <c r="A20" s="2" t="s">
        <v>92</v>
      </c>
      <c r="B20" s="2" t="s">
        <v>152</v>
      </c>
      <c r="C20" s="16">
        <v>0.5</v>
      </c>
      <c r="D20" s="16">
        <v>0.5</v>
      </c>
      <c r="E20" s="16">
        <v>0.5</v>
      </c>
      <c r="F20" s="16">
        <v>0.5</v>
      </c>
      <c r="G20" s="2">
        <f t="shared" si="0"/>
        <v>2</v>
      </c>
      <c r="H20" s="2"/>
    </row>
    <row r="21" spans="1:8" ht="356">
      <c r="A21" s="2" t="s">
        <v>93</v>
      </c>
      <c r="B21" s="2" t="s">
        <v>149</v>
      </c>
      <c r="C21" s="16">
        <v>0.5</v>
      </c>
      <c r="D21" s="16">
        <v>0.5</v>
      </c>
      <c r="E21" s="16">
        <v>0.5</v>
      </c>
      <c r="F21" s="16">
        <v>0.5</v>
      </c>
      <c r="G21" s="2">
        <f t="shared" si="0"/>
        <v>2</v>
      </c>
      <c r="H21" s="2"/>
    </row>
    <row r="22" spans="1:8" ht="356">
      <c r="A22" s="2" t="s">
        <v>94</v>
      </c>
      <c r="B22" s="2" t="s">
        <v>149</v>
      </c>
      <c r="C22" s="16">
        <v>0.5</v>
      </c>
      <c r="D22" s="16">
        <v>0.5</v>
      </c>
      <c r="E22" s="16">
        <v>0.5</v>
      </c>
      <c r="F22" s="16">
        <v>0.5</v>
      </c>
      <c r="G22" s="2">
        <f t="shared" si="0"/>
        <v>2</v>
      </c>
      <c r="H22" s="2"/>
    </row>
    <row r="23" spans="1:8" ht="314">
      <c r="A23" s="2" t="s">
        <v>95</v>
      </c>
      <c r="B23" s="2" t="s">
        <v>153</v>
      </c>
      <c r="C23" s="16">
        <v>0.5</v>
      </c>
      <c r="D23" s="16">
        <v>0.5</v>
      </c>
      <c r="E23" s="16">
        <v>0.5</v>
      </c>
      <c r="F23" s="16">
        <v>0.5</v>
      </c>
      <c r="G23" s="2">
        <f t="shared" si="0"/>
        <v>2</v>
      </c>
      <c r="H23" s="2"/>
    </row>
    <row r="24" spans="1:8" ht="409.6">
      <c r="A24" s="2" t="s">
        <v>96</v>
      </c>
      <c r="B24" s="2" t="s">
        <v>142</v>
      </c>
      <c r="C24" s="16">
        <v>0.5</v>
      </c>
      <c r="D24" s="16">
        <v>0.5</v>
      </c>
      <c r="E24" s="16">
        <v>0.5</v>
      </c>
      <c r="F24" s="16">
        <v>0.5</v>
      </c>
      <c r="G24" s="2">
        <f t="shared" si="0"/>
        <v>2</v>
      </c>
      <c r="H24" s="2"/>
    </row>
    <row r="25" spans="1:8" ht="356">
      <c r="A25" s="2" t="s">
        <v>97</v>
      </c>
      <c r="B25" s="2" t="s">
        <v>154</v>
      </c>
      <c r="C25" s="16">
        <v>0.5</v>
      </c>
      <c r="D25" s="16">
        <v>0</v>
      </c>
      <c r="E25" s="16">
        <v>0.5</v>
      </c>
      <c r="F25" s="16">
        <v>0.5</v>
      </c>
      <c r="G25" s="2">
        <f t="shared" si="0"/>
        <v>1.5</v>
      </c>
      <c r="H25" s="2"/>
    </row>
    <row r="26" spans="1:8" ht="356">
      <c r="A26" s="2" t="s">
        <v>98</v>
      </c>
      <c r="B26" s="2" t="s">
        <v>155</v>
      </c>
      <c r="C26" s="16">
        <v>0.5</v>
      </c>
      <c r="D26" s="16">
        <v>0.5</v>
      </c>
      <c r="E26" s="16">
        <v>0.5</v>
      </c>
      <c r="F26" s="16">
        <v>0.5</v>
      </c>
      <c r="G26" s="2">
        <f t="shared" si="0"/>
        <v>2</v>
      </c>
      <c r="H26" s="2"/>
    </row>
    <row r="27" spans="1:8" ht="356">
      <c r="A27" s="2" t="s">
        <v>99</v>
      </c>
      <c r="B27" s="2" t="s">
        <v>149</v>
      </c>
      <c r="C27" s="16">
        <v>0.5</v>
      </c>
      <c r="D27" s="16">
        <v>0.5</v>
      </c>
      <c r="E27" s="16">
        <v>0.5</v>
      </c>
      <c r="F27" s="16">
        <v>0.5</v>
      </c>
      <c r="G27" s="2">
        <f t="shared" si="0"/>
        <v>2</v>
      </c>
      <c r="H27" s="2"/>
    </row>
    <row r="28" spans="1:8" ht="225">
      <c r="A28" s="2" t="s">
        <v>100</v>
      </c>
      <c r="B28" s="2" t="s">
        <v>156</v>
      </c>
      <c r="C28" s="16">
        <v>0.5</v>
      </c>
      <c r="D28" s="16">
        <v>0</v>
      </c>
      <c r="E28" s="16">
        <v>0.5</v>
      </c>
      <c r="F28" s="16">
        <v>0</v>
      </c>
      <c r="G28" s="2">
        <f t="shared" si="0"/>
        <v>1</v>
      </c>
      <c r="H28" s="2"/>
    </row>
  </sheetData>
  <mergeCells count="1">
    <mergeCell ref="A1:J1"/>
  </mergeCells>
  <dataValidations count="1">
    <dataValidation type="list" sqref="C9:F15" xr:uid="{00000000-0002-0000-0500-000000000000}">
      <formula1>"0,0.5"</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30"/>
  <sheetViews>
    <sheetView topLeftCell="A27" zoomScale="207" workbookViewId="0">
      <selection activeCell="G26" sqref="G26"/>
    </sheetView>
  </sheetViews>
  <sheetFormatPr baseColWidth="10" defaultColWidth="8.83203125" defaultRowHeight="14"/>
  <cols>
    <col min="1" max="1" width="10" customWidth="1"/>
    <col min="2" max="2" width="75" customWidth="1"/>
    <col min="3" max="8" width="8" customWidth="1"/>
    <col min="9" max="9" width="10" customWidth="1"/>
    <col min="10" max="10" width="35" customWidth="1"/>
  </cols>
  <sheetData>
    <row r="1" spans="1:10" ht="18">
      <c r="A1" s="13" t="s">
        <v>157</v>
      </c>
      <c r="B1" s="13"/>
      <c r="C1" s="13"/>
      <c r="D1" s="13"/>
      <c r="E1" s="13"/>
      <c r="F1" s="13"/>
      <c r="G1" s="13"/>
      <c r="H1" s="13"/>
      <c r="I1" s="13"/>
      <c r="J1" s="13"/>
    </row>
    <row r="2" spans="1:10" ht="16">
      <c r="A2" s="3" t="s">
        <v>34</v>
      </c>
      <c r="B2" s="3" t="s">
        <v>35</v>
      </c>
      <c r="C2" s="3" t="s">
        <v>36</v>
      </c>
    </row>
    <row r="3" spans="1:10" ht="15">
      <c r="A3" s="2" t="s">
        <v>37</v>
      </c>
      <c r="B3" s="2" t="s">
        <v>55</v>
      </c>
      <c r="C3" s="2">
        <v>0.5</v>
      </c>
    </row>
    <row r="4" spans="1:10" ht="15">
      <c r="A4" s="2" t="s">
        <v>39</v>
      </c>
      <c r="B4" s="2" t="s">
        <v>56</v>
      </c>
      <c r="C4" s="2">
        <v>0.5</v>
      </c>
    </row>
    <row r="5" spans="1:10" ht="15">
      <c r="A5" s="2" t="s">
        <v>41</v>
      </c>
      <c r="B5" s="2" t="s">
        <v>57</v>
      </c>
      <c r="C5" s="2">
        <v>0.5</v>
      </c>
    </row>
    <row r="6" spans="1:10" ht="15">
      <c r="A6" s="2" t="s">
        <v>43</v>
      </c>
      <c r="B6" s="2" t="s">
        <v>58</v>
      </c>
      <c r="C6" s="2">
        <v>0.5</v>
      </c>
    </row>
    <row r="7" spans="1:10" ht="15">
      <c r="A7" s="2" t="s">
        <v>45</v>
      </c>
      <c r="B7" s="2" t="s">
        <v>59</v>
      </c>
      <c r="C7" s="2">
        <v>0.5</v>
      </c>
    </row>
    <row r="8" spans="1:10" ht="15">
      <c r="A8" s="2" t="s">
        <v>60</v>
      </c>
      <c r="B8" s="2" t="s">
        <v>61</v>
      </c>
      <c r="C8" s="2">
        <v>0.5</v>
      </c>
    </row>
    <row r="10" spans="1:10" ht="16">
      <c r="A10" s="3" t="s">
        <v>73</v>
      </c>
      <c r="B10" s="3" t="s">
        <v>118</v>
      </c>
      <c r="C10" s="3" t="s">
        <v>37</v>
      </c>
      <c r="D10" s="3" t="s">
        <v>39</v>
      </c>
      <c r="E10" s="3" t="s">
        <v>41</v>
      </c>
      <c r="F10" s="3" t="s">
        <v>43</v>
      </c>
      <c r="G10" s="3" t="s">
        <v>45</v>
      </c>
      <c r="H10" s="3" t="s">
        <v>60</v>
      </c>
      <c r="I10" s="3" t="s">
        <v>119</v>
      </c>
      <c r="J10" s="3" t="s">
        <v>120</v>
      </c>
    </row>
    <row r="11" spans="1:10" ht="328">
      <c r="A11" s="2" t="s">
        <v>77</v>
      </c>
      <c r="B11" s="2" t="s">
        <v>158</v>
      </c>
      <c r="C11" s="2">
        <v>0.5</v>
      </c>
      <c r="D11" s="2">
        <v>0.5</v>
      </c>
      <c r="E11" s="2">
        <v>0.5</v>
      </c>
      <c r="F11" s="2">
        <v>0.5</v>
      </c>
      <c r="G11" s="2">
        <v>0.5</v>
      </c>
      <c r="H11" s="2">
        <v>0.5</v>
      </c>
      <c r="I11" s="2">
        <f t="shared" ref="I11:I30" si="0">SUM(C11:H11)</f>
        <v>3</v>
      </c>
      <c r="J11" s="2"/>
    </row>
    <row r="12" spans="1:10" ht="328">
      <c r="A12" s="2" t="s">
        <v>80</v>
      </c>
      <c r="B12" s="2" t="s">
        <v>159</v>
      </c>
      <c r="C12" s="2">
        <v>0.5</v>
      </c>
      <c r="D12" s="2">
        <v>0.5</v>
      </c>
      <c r="E12" s="2">
        <v>0.5</v>
      </c>
      <c r="F12" s="2">
        <v>0.5</v>
      </c>
      <c r="G12" s="2">
        <v>0.5</v>
      </c>
      <c r="H12" s="2">
        <v>0.5</v>
      </c>
      <c r="I12" s="2">
        <f t="shared" si="0"/>
        <v>3</v>
      </c>
      <c r="J12" s="2"/>
    </row>
    <row r="13" spans="1:10" ht="384">
      <c r="A13" s="2" t="s">
        <v>81</v>
      </c>
      <c r="B13" s="2" t="s">
        <v>160</v>
      </c>
      <c r="C13" s="2">
        <v>0</v>
      </c>
      <c r="D13" s="2">
        <v>0.5</v>
      </c>
      <c r="E13" s="2">
        <v>0</v>
      </c>
      <c r="F13" s="2">
        <v>0</v>
      </c>
      <c r="G13" s="2">
        <v>0</v>
      </c>
      <c r="H13" s="2">
        <v>0.5</v>
      </c>
      <c r="I13" s="2">
        <f t="shared" si="0"/>
        <v>1</v>
      </c>
      <c r="J13" s="2"/>
    </row>
    <row r="14" spans="1:10" ht="240">
      <c r="A14" s="2" t="s">
        <v>84</v>
      </c>
      <c r="B14" s="2" t="s">
        <v>161</v>
      </c>
      <c r="C14" s="16">
        <v>0.5</v>
      </c>
      <c r="D14" s="16">
        <v>0.5</v>
      </c>
      <c r="E14" s="16">
        <v>0.5</v>
      </c>
      <c r="F14" s="16">
        <v>0.5</v>
      </c>
      <c r="G14" s="16">
        <v>0.5</v>
      </c>
      <c r="H14" s="16">
        <v>0.5</v>
      </c>
      <c r="I14" s="2">
        <f t="shared" si="0"/>
        <v>3</v>
      </c>
      <c r="J14" s="2"/>
    </row>
    <row r="15" spans="1:10" ht="300">
      <c r="A15" s="2" t="s">
        <v>85</v>
      </c>
      <c r="B15" s="2" t="s">
        <v>162</v>
      </c>
      <c r="C15" s="16">
        <v>0.5</v>
      </c>
      <c r="D15" s="16">
        <v>0.5</v>
      </c>
      <c r="E15" s="16">
        <v>0.5</v>
      </c>
      <c r="F15" s="16">
        <v>0.5</v>
      </c>
      <c r="G15" s="16">
        <v>0</v>
      </c>
      <c r="H15" s="16">
        <v>0.5</v>
      </c>
      <c r="I15" s="2">
        <f t="shared" si="0"/>
        <v>2.5</v>
      </c>
      <c r="J15" s="2"/>
    </row>
    <row r="16" spans="1:10" ht="270">
      <c r="A16" s="2" t="s">
        <v>86</v>
      </c>
      <c r="B16" s="2" t="s">
        <v>163</v>
      </c>
      <c r="C16" s="16">
        <v>0.5</v>
      </c>
      <c r="D16" s="16">
        <v>0.5</v>
      </c>
      <c r="E16" s="16">
        <v>0.5</v>
      </c>
      <c r="F16" s="16">
        <v>0.5</v>
      </c>
      <c r="G16" s="16">
        <v>0.5</v>
      </c>
      <c r="H16" s="16">
        <v>0.5</v>
      </c>
      <c r="I16" s="2">
        <f t="shared" si="0"/>
        <v>3</v>
      </c>
      <c r="J16" s="2"/>
    </row>
    <row r="17" spans="1:10" ht="270">
      <c r="A17" s="2" t="s">
        <v>87</v>
      </c>
      <c r="B17" s="2" t="s">
        <v>164</v>
      </c>
      <c r="C17" s="16">
        <v>0.5</v>
      </c>
      <c r="D17" s="16">
        <v>0.5</v>
      </c>
      <c r="E17" s="16">
        <v>0.5</v>
      </c>
      <c r="F17" s="16">
        <v>0.5</v>
      </c>
      <c r="G17" s="16">
        <v>0.5</v>
      </c>
      <c r="H17" s="16">
        <v>0.5</v>
      </c>
      <c r="I17" s="2">
        <f t="shared" si="0"/>
        <v>3</v>
      </c>
      <c r="J17" s="2"/>
    </row>
    <row r="18" spans="1:10" ht="105">
      <c r="A18" s="2" t="s">
        <v>88</v>
      </c>
      <c r="B18" s="2" t="s">
        <v>165</v>
      </c>
      <c r="C18" s="2">
        <v>0.5</v>
      </c>
      <c r="D18" s="2">
        <v>0</v>
      </c>
      <c r="E18" s="2">
        <v>0</v>
      </c>
      <c r="F18" s="2">
        <v>0</v>
      </c>
      <c r="G18" s="2">
        <v>0</v>
      </c>
      <c r="H18" s="2">
        <v>0</v>
      </c>
      <c r="I18" s="2">
        <f t="shared" si="0"/>
        <v>0.5</v>
      </c>
      <c r="J18" s="2"/>
    </row>
    <row r="19" spans="1:10" ht="285">
      <c r="A19" s="2" t="s">
        <v>89</v>
      </c>
      <c r="B19" s="2" t="s">
        <v>166</v>
      </c>
      <c r="C19" s="16">
        <v>0.5</v>
      </c>
      <c r="D19" s="16">
        <v>0.5</v>
      </c>
      <c r="E19" s="16">
        <v>0.5</v>
      </c>
      <c r="F19" s="16">
        <v>0.5</v>
      </c>
      <c r="G19" s="16">
        <v>0.5</v>
      </c>
      <c r="H19" s="16">
        <v>0.5</v>
      </c>
      <c r="I19" s="2">
        <f t="shared" si="0"/>
        <v>3</v>
      </c>
      <c r="J19" s="2"/>
    </row>
    <row r="20" spans="1:10" ht="314">
      <c r="A20" s="2" t="s">
        <v>90</v>
      </c>
      <c r="B20" s="2" t="s">
        <v>167</v>
      </c>
      <c r="C20" s="16">
        <v>0.5</v>
      </c>
      <c r="D20" s="16">
        <v>0.5</v>
      </c>
      <c r="E20" s="16">
        <v>0.5</v>
      </c>
      <c r="F20" s="16">
        <v>0.5</v>
      </c>
      <c r="G20" s="16">
        <v>0.5</v>
      </c>
      <c r="H20" s="16">
        <v>0.5</v>
      </c>
      <c r="I20" s="2">
        <f t="shared" si="0"/>
        <v>3</v>
      </c>
      <c r="J20" s="2"/>
    </row>
    <row r="21" spans="1:10" ht="300">
      <c r="A21" s="2" t="s">
        <v>91</v>
      </c>
      <c r="B21" s="2" t="s">
        <v>168</v>
      </c>
      <c r="C21" s="16">
        <v>0.5</v>
      </c>
      <c r="D21" s="16">
        <v>0.5</v>
      </c>
      <c r="E21" s="16">
        <v>0.5</v>
      </c>
      <c r="F21" s="16">
        <v>0.5</v>
      </c>
      <c r="G21" s="16">
        <v>0.5</v>
      </c>
      <c r="H21" s="16">
        <v>0.5</v>
      </c>
      <c r="I21" s="2">
        <f t="shared" si="0"/>
        <v>3</v>
      </c>
      <c r="J21" s="2"/>
    </row>
    <row r="22" spans="1:10" ht="270">
      <c r="A22" s="2" t="s">
        <v>92</v>
      </c>
      <c r="B22" s="2" t="s">
        <v>169</v>
      </c>
      <c r="C22" s="2">
        <v>0.5</v>
      </c>
      <c r="D22" s="2">
        <v>0.5</v>
      </c>
      <c r="E22" s="2">
        <v>0.5</v>
      </c>
      <c r="F22" s="2">
        <v>0</v>
      </c>
      <c r="G22" s="2">
        <v>0</v>
      </c>
      <c r="H22" s="17">
        <v>0.5</v>
      </c>
      <c r="I22" s="2">
        <f t="shared" si="0"/>
        <v>2</v>
      </c>
      <c r="J22" s="2"/>
    </row>
    <row r="23" spans="1:10" ht="285">
      <c r="A23" s="2" t="s">
        <v>93</v>
      </c>
      <c r="B23" s="2" t="s">
        <v>170</v>
      </c>
      <c r="C23" s="16">
        <v>0.5</v>
      </c>
      <c r="D23" s="16">
        <v>0.5</v>
      </c>
      <c r="E23" s="16">
        <v>0.5</v>
      </c>
      <c r="F23" s="16">
        <v>0.5</v>
      </c>
      <c r="G23" s="16">
        <v>0.5</v>
      </c>
      <c r="H23" s="16">
        <v>0.5</v>
      </c>
      <c r="I23" s="2">
        <f>SUM(C23:H23)</f>
        <v>3</v>
      </c>
      <c r="J23" s="2"/>
    </row>
    <row r="24" spans="1:10" ht="270">
      <c r="A24" s="2" t="s">
        <v>94</v>
      </c>
      <c r="B24" s="2" t="s">
        <v>171</v>
      </c>
      <c r="C24" s="16">
        <v>0.5</v>
      </c>
      <c r="D24" s="16">
        <v>0.5</v>
      </c>
      <c r="E24" s="16">
        <v>0.5</v>
      </c>
      <c r="F24" s="16">
        <v>0.5</v>
      </c>
      <c r="G24" s="16">
        <v>0.5</v>
      </c>
      <c r="H24" s="16">
        <v>0.5</v>
      </c>
      <c r="I24" s="2">
        <f t="shared" si="0"/>
        <v>3</v>
      </c>
      <c r="J24" s="2"/>
    </row>
    <row r="25" spans="1:10" ht="195">
      <c r="A25" s="2" t="s">
        <v>95</v>
      </c>
      <c r="B25" s="2" t="s">
        <v>172</v>
      </c>
      <c r="C25" s="16">
        <v>0.5</v>
      </c>
      <c r="D25" s="16">
        <v>0.5</v>
      </c>
      <c r="E25" s="16">
        <v>0</v>
      </c>
      <c r="F25" s="16">
        <v>0</v>
      </c>
      <c r="G25" s="16">
        <v>0</v>
      </c>
      <c r="H25" s="16">
        <v>0</v>
      </c>
      <c r="I25" s="2">
        <f t="shared" si="0"/>
        <v>1</v>
      </c>
      <c r="J25" s="2"/>
    </row>
    <row r="26" spans="1:10" ht="255">
      <c r="A26" s="2" t="s">
        <v>96</v>
      </c>
      <c r="B26" s="2" t="s">
        <v>173</v>
      </c>
      <c r="C26" s="16">
        <v>0.5</v>
      </c>
      <c r="D26" s="16">
        <v>0.5</v>
      </c>
      <c r="E26" s="16">
        <v>0</v>
      </c>
      <c r="F26" s="16">
        <v>0</v>
      </c>
      <c r="G26" s="16">
        <v>0.5</v>
      </c>
      <c r="H26" s="16">
        <v>0.5</v>
      </c>
      <c r="I26" s="2">
        <f t="shared" si="0"/>
        <v>2</v>
      </c>
      <c r="J26" s="2"/>
    </row>
    <row r="27" spans="1:10" ht="255">
      <c r="A27" s="2" t="s">
        <v>97</v>
      </c>
      <c r="B27" s="2" t="s">
        <v>174</v>
      </c>
      <c r="C27" s="16">
        <v>0.5</v>
      </c>
      <c r="D27" s="16">
        <v>0.5</v>
      </c>
      <c r="E27" s="16">
        <v>0.5</v>
      </c>
      <c r="F27" s="16">
        <v>0.5</v>
      </c>
      <c r="G27" s="16">
        <v>0.5</v>
      </c>
      <c r="H27" s="16">
        <v>0.5</v>
      </c>
      <c r="I27" s="2">
        <f t="shared" si="0"/>
        <v>3</v>
      </c>
      <c r="J27" s="2"/>
    </row>
    <row r="28" spans="1:10" ht="270">
      <c r="A28" s="2" t="s">
        <v>98</v>
      </c>
      <c r="B28" s="2" t="s">
        <v>175</v>
      </c>
      <c r="C28" s="16">
        <v>0.5</v>
      </c>
      <c r="D28" s="16">
        <v>0.5</v>
      </c>
      <c r="E28" s="16">
        <v>0.5</v>
      </c>
      <c r="F28" s="16">
        <v>0.5</v>
      </c>
      <c r="G28" s="16">
        <v>0.5</v>
      </c>
      <c r="H28" s="16">
        <v>0.5</v>
      </c>
      <c r="I28" s="2">
        <f t="shared" si="0"/>
        <v>3</v>
      </c>
      <c r="J28" s="2"/>
    </row>
    <row r="29" spans="1:10" ht="270">
      <c r="A29" s="2" t="s">
        <v>99</v>
      </c>
      <c r="B29" s="2" t="s">
        <v>163</v>
      </c>
      <c r="C29" s="16">
        <v>0.5</v>
      </c>
      <c r="D29" s="16">
        <v>0.5</v>
      </c>
      <c r="E29" s="16">
        <v>0.5</v>
      </c>
      <c r="F29" s="16">
        <v>0.5</v>
      </c>
      <c r="G29" s="16">
        <v>0.5</v>
      </c>
      <c r="H29" s="16">
        <v>0.5</v>
      </c>
      <c r="I29" s="2">
        <f t="shared" si="0"/>
        <v>3</v>
      </c>
      <c r="J29" s="2"/>
    </row>
    <row r="30" spans="1:10" ht="285">
      <c r="A30" s="2" t="s">
        <v>100</v>
      </c>
      <c r="B30" s="2" t="s">
        <v>176</v>
      </c>
      <c r="C30" s="16">
        <v>0.5</v>
      </c>
      <c r="D30" s="16">
        <v>0.5</v>
      </c>
      <c r="E30" s="16">
        <v>0.5</v>
      </c>
      <c r="F30" s="16">
        <v>0.5</v>
      </c>
      <c r="G30" s="16">
        <v>0.5</v>
      </c>
      <c r="H30" s="16">
        <v>0.5</v>
      </c>
      <c r="I30" s="2">
        <f t="shared" si="0"/>
        <v>3</v>
      </c>
      <c r="J30" s="2"/>
    </row>
  </sheetData>
  <mergeCells count="1">
    <mergeCell ref="A1:J1"/>
  </mergeCells>
  <dataValidations count="1">
    <dataValidation type="list" sqref="C11:H13 C18:H18 C22:H22" xr:uid="{00000000-0002-0000-0600-000000000000}">
      <formula1>"0,0.5"</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29"/>
  <sheetViews>
    <sheetView tabSelected="1" topLeftCell="A10" zoomScale="191" workbookViewId="0">
      <selection activeCell="B11" sqref="B11"/>
    </sheetView>
  </sheetViews>
  <sheetFormatPr baseColWidth="10" defaultColWidth="8.83203125" defaultRowHeight="14"/>
  <cols>
    <col min="1" max="1" width="10" customWidth="1"/>
    <col min="2" max="2" width="75" customWidth="1"/>
    <col min="3" max="7" width="8" customWidth="1"/>
    <col min="8" max="8" width="10" customWidth="1"/>
    <col min="9" max="9" width="35" customWidth="1"/>
  </cols>
  <sheetData>
    <row r="1" spans="1:9" ht="18">
      <c r="A1" s="13" t="s">
        <v>177</v>
      </c>
      <c r="B1" s="13"/>
      <c r="C1" s="13"/>
      <c r="D1" s="13"/>
      <c r="E1" s="13"/>
      <c r="F1" s="13"/>
      <c r="G1" s="13"/>
      <c r="H1" s="13"/>
      <c r="I1" s="13"/>
    </row>
    <row r="2" spans="1:9" ht="16">
      <c r="A2" s="3" t="s">
        <v>34</v>
      </c>
      <c r="B2" s="3" t="s">
        <v>35</v>
      </c>
      <c r="C2" s="3" t="s">
        <v>36</v>
      </c>
    </row>
    <row r="3" spans="1:9" ht="15">
      <c r="A3" s="2" t="s">
        <v>37</v>
      </c>
      <c r="B3" s="2" t="s">
        <v>65</v>
      </c>
      <c r="C3" s="2">
        <v>0.5</v>
      </c>
    </row>
    <row r="4" spans="1:9" ht="15">
      <c r="A4" s="2" t="s">
        <v>39</v>
      </c>
      <c r="B4" s="2" t="s">
        <v>67</v>
      </c>
      <c r="C4" s="2">
        <v>0.5</v>
      </c>
    </row>
    <row r="5" spans="1:9" ht="15">
      <c r="A5" s="2" t="s">
        <v>41</v>
      </c>
      <c r="B5" s="2" t="s">
        <v>68</v>
      </c>
      <c r="C5" s="2">
        <v>0.5</v>
      </c>
    </row>
    <row r="6" spans="1:9" ht="15">
      <c r="A6" s="2" t="s">
        <v>43</v>
      </c>
      <c r="B6" s="2" t="s">
        <v>69</v>
      </c>
      <c r="C6" s="2">
        <v>0.5</v>
      </c>
    </row>
    <row r="7" spans="1:9" ht="15">
      <c r="A7" s="2" t="s">
        <v>45</v>
      </c>
      <c r="B7" s="2" t="s">
        <v>70</v>
      </c>
      <c r="C7" s="2">
        <v>0.5</v>
      </c>
    </row>
    <row r="9" spans="1:9" ht="16">
      <c r="A9" s="3" t="s">
        <v>73</v>
      </c>
      <c r="B9" s="3" t="s">
        <v>118</v>
      </c>
      <c r="C9" s="3" t="s">
        <v>37</v>
      </c>
      <c r="D9" s="3" t="s">
        <v>39</v>
      </c>
      <c r="E9" s="3" t="s">
        <v>41</v>
      </c>
      <c r="F9" s="3" t="s">
        <v>43</v>
      </c>
      <c r="G9" s="3" t="s">
        <v>45</v>
      </c>
      <c r="H9" s="3" t="s">
        <v>119</v>
      </c>
      <c r="I9" s="3" t="s">
        <v>120</v>
      </c>
    </row>
    <row r="10" spans="1:9" ht="356">
      <c r="A10" s="2" t="s">
        <v>77</v>
      </c>
      <c r="B10" s="2" t="s">
        <v>178</v>
      </c>
      <c r="C10" s="16">
        <v>0.5</v>
      </c>
      <c r="D10" s="16">
        <v>0.5</v>
      </c>
      <c r="E10" s="16">
        <v>0.5</v>
      </c>
      <c r="F10" s="16">
        <v>0.5</v>
      </c>
      <c r="G10" s="16">
        <v>0.5</v>
      </c>
      <c r="H10" s="2">
        <f t="shared" ref="H10:H29" si="0">SUM(C10:G10)</f>
        <v>2.5</v>
      </c>
      <c r="I10" s="2"/>
    </row>
    <row r="11" spans="1:9" ht="342">
      <c r="A11" s="2" t="s">
        <v>80</v>
      </c>
      <c r="B11" s="2" t="s">
        <v>179</v>
      </c>
      <c r="C11" s="2">
        <v>0.5</v>
      </c>
      <c r="D11" s="2">
        <v>0.5</v>
      </c>
      <c r="E11" s="2">
        <v>0.5</v>
      </c>
      <c r="F11" s="2">
        <v>0.5</v>
      </c>
      <c r="G11" s="2">
        <v>0.5</v>
      </c>
      <c r="H11" s="2">
        <f t="shared" si="0"/>
        <v>2.5</v>
      </c>
      <c r="I11" s="2"/>
    </row>
    <row r="12" spans="1:9" ht="15">
      <c r="A12" s="2" t="s">
        <v>81</v>
      </c>
      <c r="B12" s="2" t="s">
        <v>180</v>
      </c>
      <c r="C12" s="2">
        <v>0</v>
      </c>
      <c r="D12" s="2">
        <v>0</v>
      </c>
      <c r="E12" s="2">
        <v>0</v>
      </c>
      <c r="F12" s="2">
        <v>0</v>
      </c>
      <c r="G12" s="2">
        <v>0</v>
      </c>
      <c r="H12" s="2">
        <f t="shared" si="0"/>
        <v>0</v>
      </c>
      <c r="I12" s="2" t="s">
        <v>277</v>
      </c>
    </row>
    <row r="13" spans="1:9" ht="255">
      <c r="A13" s="2" t="s">
        <v>84</v>
      </c>
      <c r="B13" s="2" t="s">
        <v>181</v>
      </c>
      <c r="C13" s="2">
        <v>0.5</v>
      </c>
      <c r="D13" s="2">
        <v>0.5</v>
      </c>
      <c r="E13" s="2">
        <v>0.5</v>
      </c>
      <c r="F13" s="2">
        <v>0.5</v>
      </c>
      <c r="G13" s="2">
        <v>0.5</v>
      </c>
      <c r="H13" s="2">
        <f t="shared" si="0"/>
        <v>2.5</v>
      </c>
      <c r="I13" s="2"/>
    </row>
    <row r="14" spans="1:9" ht="356">
      <c r="A14" s="2" t="s">
        <v>85</v>
      </c>
      <c r="B14" s="2" t="s">
        <v>182</v>
      </c>
      <c r="C14" s="2">
        <v>0.5</v>
      </c>
      <c r="D14" s="2">
        <v>0.5</v>
      </c>
      <c r="E14" s="2">
        <v>0.5</v>
      </c>
      <c r="F14" s="2">
        <v>0.5</v>
      </c>
      <c r="G14" s="2">
        <v>0.5</v>
      </c>
      <c r="H14" s="2">
        <f t="shared" si="0"/>
        <v>2.5</v>
      </c>
      <c r="I14" s="2"/>
    </row>
    <row r="15" spans="1:9" ht="285">
      <c r="A15" s="2" t="s">
        <v>86</v>
      </c>
      <c r="B15" s="2" t="s">
        <v>183</v>
      </c>
      <c r="C15" s="2">
        <v>0.5</v>
      </c>
      <c r="D15" s="2">
        <v>0.5</v>
      </c>
      <c r="E15" s="2">
        <v>0.5</v>
      </c>
      <c r="F15" s="2">
        <v>0.5</v>
      </c>
      <c r="G15" s="2">
        <v>0.5</v>
      </c>
      <c r="H15" s="2">
        <f t="shared" si="0"/>
        <v>2.5</v>
      </c>
      <c r="I15" s="2"/>
    </row>
    <row r="16" spans="1:9" ht="285">
      <c r="A16" s="2" t="s">
        <v>87</v>
      </c>
      <c r="B16" s="2" t="s">
        <v>184</v>
      </c>
      <c r="C16" s="16">
        <v>0.5</v>
      </c>
      <c r="D16" s="16">
        <v>0.5</v>
      </c>
      <c r="E16" s="16">
        <v>0.5</v>
      </c>
      <c r="F16" s="16">
        <v>0.5</v>
      </c>
      <c r="G16" s="16">
        <v>0.5</v>
      </c>
      <c r="H16" s="2">
        <f t="shared" si="0"/>
        <v>2.5</v>
      </c>
      <c r="I16" s="2"/>
    </row>
    <row r="17" spans="1:9" ht="240">
      <c r="A17" s="2" t="s">
        <v>88</v>
      </c>
      <c r="B17" s="2" t="s">
        <v>185</v>
      </c>
      <c r="C17" s="16">
        <v>0</v>
      </c>
      <c r="D17" s="16">
        <v>0</v>
      </c>
      <c r="E17" s="16">
        <v>0</v>
      </c>
      <c r="F17" s="16">
        <v>0</v>
      </c>
      <c r="G17" s="16">
        <v>0</v>
      </c>
      <c r="H17" s="2">
        <f t="shared" si="0"/>
        <v>0</v>
      </c>
      <c r="I17" s="2" t="s">
        <v>278</v>
      </c>
    </row>
    <row r="18" spans="1:9" ht="328">
      <c r="A18" s="2" t="s">
        <v>89</v>
      </c>
      <c r="B18" s="2" t="s">
        <v>186</v>
      </c>
      <c r="C18" s="16">
        <v>0.5</v>
      </c>
      <c r="D18" s="16">
        <v>0.5</v>
      </c>
      <c r="E18" s="16">
        <v>0.5</v>
      </c>
      <c r="F18" s="16">
        <v>0.5</v>
      </c>
      <c r="G18" s="16">
        <v>0.5</v>
      </c>
      <c r="H18" s="2">
        <f t="shared" si="0"/>
        <v>2.5</v>
      </c>
      <c r="I18" s="2"/>
    </row>
    <row r="19" spans="1:9" ht="328">
      <c r="A19" s="2" t="s">
        <v>90</v>
      </c>
      <c r="B19" s="2" t="s">
        <v>187</v>
      </c>
      <c r="C19" s="16">
        <v>0.5</v>
      </c>
      <c r="D19" s="16">
        <v>0.5</v>
      </c>
      <c r="E19" s="16">
        <v>0.5</v>
      </c>
      <c r="F19" s="16">
        <v>0.5</v>
      </c>
      <c r="G19" s="16">
        <v>0.5</v>
      </c>
      <c r="H19" s="2">
        <f t="shared" si="0"/>
        <v>2.5</v>
      </c>
      <c r="I19" s="2"/>
    </row>
    <row r="20" spans="1:9" ht="328">
      <c r="A20" s="2" t="s">
        <v>91</v>
      </c>
      <c r="B20" s="2" t="s">
        <v>188</v>
      </c>
      <c r="C20" s="16">
        <v>0.5</v>
      </c>
      <c r="D20" s="16">
        <v>0.5</v>
      </c>
      <c r="E20" s="16">
        <v>0.5</v>
      </c>
      <c r="F20" s="16">
        <v>0.5</v>
      </c>
      <c r="G20" s="16">
        <v>0.5</v>
      </c>
      <c r="H20" s="2">
        <f t="shared" si="0"/>
        <v>2.5</v>
      </c>
      <c r="I20" s="2"/>
    </row>
    <row r="21" spans="1:9" ht="195">
      <c r="A21" s="2" t="s">
        <v>92</v>
      </c>
      <c r="B21" s="2" t="s">
        <v>189</v>
      </c>
      <c r="C21" s="2">
        <v>0.5</v>
      </c>
      <c r="D21" s="2">
        <v>0</v>
      </c>
      <c r="E21" s="2">
        <v>0.5</v>
      </c>
      <c r="F21" s="2">
        <v>0</v>
      </c>
      <c r="G21" s="2">
        <v>0</v>
      </c>
      <c r="H21" s="2">
        <f t="shared" si="0"/>
        <v>1</v>
      </c>
      <c r="I21" s="2" t="s">
        <v>279</v>
      </c>
    </row>
    <row r="22" spans="1:9" ht="300">
      <c r="A22" s="2" t="s">
        <v>93</v>
      </c>
      <c r="B22" s="2" t="s">
        <v>190</v>
      </c>
      <c r="C22" s="16">
        <v>0.5</v>
      </c>
      <c r="D22" s="16">
        <v>0.5</v>
      </c>
      <c r="E22" s="16">
        <v>0.5</v>
      </c>
      <c r="F22" s="16">
        <v>0.5</v>
      </c>
      <c r="G22" s="16">
        <v>0.5</v>
      </c>
      <c r="H22" s="2">
        <f t="shared" si="0"/>
        <v>2.5</v>
      </c>
      <c r="I22" s="2"/>
    </row>
    <row r="23" spans="1:9" ht="285">
      <c r="A23" s="2" t="s">
        <v>94</v>
      </c>
      <c r="B23" s="2" t="s">
        <v>191</v>
      </c>
      <c r="C23" s="16">
        <v>0.5</v>
      </c>
      <c r="D23" s="16">
        <v>0.5</v>
      </c>
      <c r="E23" s="16">
        <v>0.5</v>
      </c>
      <c r="F23" s="16">
        <v>0.5</v>
      </c>
      <c r="G23" s="16">
        <v>0.5</v>
      </c>
      <c r="H23" s="2">
        <f t="shared" si="0"/>
        <v>2.5</v>
      </c>
      <c r="I23" s="2"/>
    </row>
    <row r="24" spans="1:9" ht="300">
      <c r="A24" s="2" t="s">
        <v>95</v>
      </c>
      <c r="B24" s="2" t="s">
        <v>192</v>
      </c>
      <c r="C24" s="16">
        <v>0.5</v>
      </c>
      <c r="D24" s="16">
        <v>0.5</v>
      </c>
      <c r="E24" s="16">
        <v>0.5</v>
      </c>
      <c r="F24" s="16">
        <v>0.5</v>
      </c>
      <c r="G24" s="16">
        <v>0.5</v>
      </c>
      <c r="H24" s="2">
        <f t="shared" si="0"/>
        <v>2.5</v>
      </c>
      <c r="I24" s="2"/>
    </row>
    <row r="25" spans="1:9" ht="270">
      <c r="A25" s="2" t="s">
        <v>96</v>
      </c>
      <c r="B25" s="2" t="s">
        <v>193</v>
      </c>
      <c r="C25" s="16">
        <v>0.5</v>
      </c>
      <c r="D25" s="16">
        <v>0.5</v>
      </c>
      <c r="E25" s="16">
        <v>0.5</v>
      </c>
      <c r="F25" s="16">
        <v>0</v>
      </c>
      <c r="G25" s="16">
        <v>0.5</v>
      </c>
      <c r="H25" s="2">
        <f t="shared" si="0"/>
        <v>2</v>
      </c>
      <c r="I25" s="2"/>
    </row>
    <row r="26" spans="1:9" ht="270">
      <c r="A26" s="2" t="s">
        <v>97</v>
      </c>
      <c r="B26" s="2" t="s">
        <v>194</v>
      </c>
      <c r="C26" s="16">
        <v>0.5</v>
      </c>
      <c r="D26" s="16">
        <v>0.5</v>
      </c>
      <c r="E26" s="16">
        <v>0.5</v>
      </c>
      <c r="F26" s="16">
        <v>0.5</v>
      </c>
      <c r="G26" s="16">
        <v>0.5</v>
      </c>
      <c r="H26" s="2">
        <f t="shared" si="0"/>
        <v>2.5</v>
      </c>
      <c r="I26" s="2"/>
    </row>
    <row r="27" spans="1:9" ht="314">
      <c r="A27" s="2" t="s">
        <v>98</v>
      </c>
      <c r="B27" s="2" t="s">
        <v>195</v>
      </c>
      <c r="C27" s="16">
        <v>0.5</v>
      </c>
      <c r="D27" s="16">
        <v>0.5</v>
      </c>
      <c r="E27" s="16">
        <v>0.5</v>
      </c>
      <c r="F27" s="16">
        <v>0.5</v>
      </c>
      <c r="G27" s="16">
        <v>0.5</v>
      </c>
      <c r="H27" s="2">
        <f t="shared" si="0"/>
        <v>2.5</v>
      </c>
      <c r="I27" s="2"/>
    </row>
    <row r="28" spans="1:9" ht="285">
      <c r="A28" s="2" t="s">
        <v>99</v>
      </c>
      <c r="B28" s="2" t="s">
        <v>196</v>
      </c>
      <c r="C28" s="16">
        <v>0.5</v>
      </c>
      <c r="D28" s="16">
        <v>0.5</v>
      </c>
      <c r="E28" s="16">
        <v>0.5</v>
      </c>
      <c r="F28" s="16">
        <v>0.5</v>
      </c>
      <c r="G28" s="16">
        <v>0.5</v>
      </c>
      <c r="H28" s="2">
        <f t="shared" si="0"/>
        <v>2.5</v>
      </c>
      <c r="I28" s="2"/>
    </row>
    <row r="29" spans="1:9" ht="409.6">
      <c r="A29" s="2" t="s">
        <v>100</v>
      </c>
      <c r="B29" s="2" t="s">
        <v>197</v>
      </c>
      <c r="C29" s="2">
        <v>0.5</v>
      </c>
      <c r="D29" s="2">
        <v>0.5</v>
      </c>
      <c r="E29" s="2">
        <v>0.5</v>
      </c>
      <c r="F29" s="2">
        <v>0</v>
      </c>
      <c r="G29" s="2">
        <v>0</v>
      </c>
      <c r="H29" s="2">
        <f t="shared" si="0"/>
        <v>1.5</v>
      </c>
      <c r="I29" s="2"/>
    </row>
  </sheetData>
  <mergeCells count="1">
    <mergeCell ref="A1:I1"/>
  </mergeCells>
  <phoneticPr fontId="5" type="noConversion"/>
  <dataValidations count="1">
    <dataValidation type="list" sqref="C11:G15 C21:G21 C29:G29" xr:uid="{00000000-0002-0000-0700-000000000000}">
      <formula1>"0,0.5"</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A21"/>
  <sheetViews>
    <sheetView workbookViewId="0"/>
  </sheetViews>
  <sheetFormatPr baseColWidth="10" defaultColWidth="8.83203125" defaultRowHeight="14"/>
  <cols>
    <col min="1" max="2" width="10" customWidth="1"/>
    <col min="3" max="3" width="18" customWidth="1"/>
    <col min="4" max="4" width="22" customWidth="1"/>
    <col min="5" max="5" width="30" customWidth="1"/>
    <col min="6" max="6" width="20" customWidth="1"/>
    <col min="7" max="7" width="22" customWidth="1"/>
    <col min="8" max="8" width="24" customWidth="1"/>
    <col min="9" max="10" width="22" customWidth="1"/>
    <col min="11" max="11" width="24" customWidth="1"/>
    <col min="12" max="12" width="34" customWidth="1"/>
    <col min="13" max="13" width="32" customWidth="1"/>
    <col min="14" max="14" width="22" customWidth="1"/>
    <col min="15" max="15" width="20" customWidth="1"/>
    <col min="16" max="16" width="27" customWidth="1"/>
    <col min="17" max="17" width="23" customWidth="1"/>
    <col min="18" max="18" width="22" customWidth="1"/>
    <col min="19" max="19" width="25" customWidth="1"/>
    <col min="20" max="20" width="22" customWidth="1"/>
    <col min="21" max="21" width="20" customWidth="1"/>
    <col min="22" max="22" width="32" customWidth="1"/>
    <col min="23" max="23" width="22" customWidth="1"/>
    <col min="24" max="24" width="31" customWidth="1"/>
    <col min="25" max="25" width="23" customWidth="1"/>
    <col min="26" max="26" width="27" customWidth="1"/>
    <col min="27" max="27" width="55" customWidth="1"/>
  </cols>
  <sheetData>
    <row r="1" spans="1:27" ht="56" customHeight="1">
      <c r="A1" s="5" t="s">
        <v>73</v>
      </c>
      <c r="B1" s="5" t="s">
        <v>74</v>
      </c>
      <c r="C1" s="5" t="s">
        <v>198</v>
      </c>
      <c r="D1" s="6" t="s">
        <v>199</v>
      </c>
      <c r="E1" s="6" t="s">
        <v>200</v>
      </c>
      <c r="F1" s="6" t="s">
        <v>201</v>
      </c>
      <c r="G1" s="6" t="s">
        <v>202</v>
      </c>
      <c r="H1" s="6" t="s">
        <v>203</v>
      </c>
      <c r="I1" s="6" t="s">
        <v>204</v>
      </c>
      <c r="J1" s="6" t="s">
        <v>205</v>
      </c>
      <c r="K1" s="6" t="s">
        <v>206</v>
      </c>
      <c r="L1" s="6" t="s">
        <v>207</v>
      </c>
      <c r="M1" s="6" t="s">
        <v>208</v>
      </c>
      <c r="N1" s="7" t="s">
        <v>209</v>
      </c>
      <c r="O1" s="8" t="s">
        <v>210</v>
      </c>
      <c r="P1" s="8" t="s">
        <v>211</v>
      </c>
      <c r="Q1" s="8" t="s">
        <v>212</v>
      </c>
      <c r="R1" s="8" t="s">
        <v>213</v>
      </c>
      <c r="S1" s="8" t="s">
        <v>214</v>
      </c>
      <c r="T1" s="8" t="s">
        <v>215</v>
      </c>
      <c r="U1" s="8" t="s">
        <v>216</v>
      </c>
      <c r="V1" s="8" t="s">
        <v>217</v>
      </c>
      <c r="W1" s="9" t="s">
        <v>218</v>
      </c>
      <c r="X1" s="9" t="s">
        <v>219</v>
      </c>
      <c r="Y1" s="9" t="s">
        <v>220</v>
      </c>
      <c r="Z1" s="9" t="s">
        <v>221</v>
      </c>
      <c r="AA1" s="10" t="s">
        <v>222</v>
      </c>
    </row>
    <row r="2" spans="1:27" ht="75">
      <c r="A2" s="4" t="s">
        <v>77</v>
      </c>
      <c r="B2" s="4" t="s">
        <v>78</v>
      </c>
      <c r="C2" s="11">
        <v>46281.073147916672</v>
      </c>
      <c r="D2" s="4" t="s">
        <v>223</v>
      </c>
      <c r="E2" s="4" t="s">
        <v>224</v>
      </c>
      <c r="F2" s="4" t="s">
        <v>225</v>
      </c>
      <c r="G2" s="4" t="s">
        <v>226</v>
      </c>
      <c r="H2" s="4" t="s">
        <v>227</v>
      </c>
      <c r="I2" s="4" t="s">
        <v>228</v>
      </c>
      <c r="J2" s="4" t="s">
        <v>229</v>
      </c>
      <c r="K2" s="4" t="s">
        <v>229</v>
      </c>
      <c r="L2" s="4" t="s">
        <v>230</v>
      </c>
      <c r="M2" s="4" t="s">
        <v>231</v>
      </c>
      <c r="N2" s="4" t="s">
        <v>232</v>
      </c>
      <c r="O2" s="4" t="s">
        <v>233</v>
      </c>
      <c r="P2" s="4" t="s">
        <v>233</v>
      </c>
      <c r="Q2" s="4" t="s">
        <v>234</v>
      </c>
      <c r="R2" s="4" t="s">
        <v>235</v>
      </c>
      <c r="S2" s="4" t="s">
        <v>233</v>
      </c>
      <c r="T2" s="4" t="s">
        <v>233</v>
      </c>
      <c r="U2" s="4" t="s">
        <v>235</v>
      </c>
      <c r="V2" s="4" t="s">
        <v>236</v>
      </c>
      <c r="W2" s="4" t="s">
        <v>233</v>
      </c>
      <c r="X2" s="4" t="s">
        <v>235</v>
      </c>
      <c r="Y2" s="4" t="s">
        <v>235</v>
      </c>
      <c r="Z2" s="4" t="s">
        <v>235</v>
      </c>
      <c r="AA2" s="4" t="s">
        <v>237</v>
      </c>
    </row>
    <row r="3" spans="1:27" ht="60">
      <c r="A3" s="4" t="s">
        <v>80</v>
      </c>
      <c r="B3" s="4" t="s">
        <v>78</v>
      </c>
      <c r="C3" s="11">
        <v>46280.621633981486</v>
      </c>
      <c r="D3" s="4" t="s">
        <v>238</v>
      </c>
      <c r="E3" s="4" t="s">
        <v>224</v>
      </c>
      <c r="F3" s="4" t="s">
        <v>225</v>
      </c>
      <c r="G3" s="4" t="s">
        <v>229</v>
      </c>
      <c r="H3" s="4" t="s">
        <v>227</v>
      </c>
      <c r="I3" s="4" t="s">
        <v>239</v>
      </c>
      <c r="J3" s="4" t="s">
        <v>227</v>
      </c>
      <c r="K3" s="4" t="s">
        <v>226</v>
      </c>
      <c r="L3" s="4" t="s">
        <v>240</v>
      </c>
      <c r="M3" s="4" t="s">
        <v>231</v>
      </c>
      <c r="N3" s="4" t="s">
        <v>241</v>
      </c>
      <c r="O3" s="4" t="s">
        <v>235</v>
      </c>
      <c r="P3" s="4" t="s">
        <v>235</v>
      </c>
      <c r="Q3" s="4" t="s">
        <v>233</v>
      </c>
      <c r="R3" s="4" t="s">
        <v>235</v>
      </c>
      <c r="S3" s="4" t="s">
        <v>235</v>
      </c>
      <c r="T3" s="4" t="s">
        <v>233</v>
      </c>
      <c r="U3" s="4" t="s">
        <v>233</v>
      </c>
      <c r="V3" s="4" t="s">
        <v>242</v>
      </c>
      <c r="W3" s="4" t="s">
        <v>235</v>
      </c>
      <c r="X3" s="4" t="s">
        <v>235</v>
      </c>
      <c r="Y3" s="4" t="s">
        <v>235</v>
      </c>
      <c r="Z3" s="4" t="s">
        <v>235</v>
      </c>
      <c r="AA3" s="4"/>
    </row>
    <row r="4" spans="1:27" ht="75">
      <c r="A4" s="4" t="s">
        <v>81</v>
      </c>
      <c r="B4" s="4" t="s">
        <v>82</v>
      </c>
      <c r="C4" s="11">
        <v>46293.697003958332</v>
      </c>
      <c r="D4" s="4" t="s">
        <v>223</v>
      </c>
      <c r="E4" s="4" t="s">
        <v>224</v>
      </c>
      <c r="F4" s="4" t="s">
        <v>225</v>
      </c>
      <c r="G4" s="4" t="s">
        <v>227</v>
      </c>
      <c r="H4" s="4" t="s">
        <v>239</v>
      </c>
      <c r="I4" s="4" t="s">
        <v>228</v>
      </c>
      <c r="J4" s="4" t="s">
        <v>228</v>
      </c>
      <c r="K4" s="4" t="s">
        <v>228</v>
      </c>
      <c r="L4" s="4" t="s">
        <v>240</v>
      </c>
      <c r="M4" s="4" t="s">
        <v>243</v>
      </c>
      <c r="N4" s="4" t="s">
        <v>232</v>
      </c>
      <c r="O4" s="4" t="s">
        <v>233</v>
      </c>
      <c r="P4" s="4" t="s">
        <v>244</v>
      </c>
      <c r="Q4" s="4" t="s">
        <v>233</v>
      </c>
      <c r="R4" s="4" t="s">
        <v>235</v>
      </c>
      <c r="S4" s="4" t="s">
        <v>235</v>
      </c>
      <c r="T4" s="4" t="s">
        <v>244</v>
      </c>
      <c r="U4" s="4" t="s">
        <v>233</v>
      </c>
      <c r="V4" s="4" t="s">
        <v>236</v>
      </c>
      <c r="W4" s="4" t="s">
        <v>233</v>
      </c>
      <c r="X4" s="4" t="s">
        <v>233</v>
      </c>
      <c r="Y4" s="4" t="s">
        <v>235</v>
      </c>
      <c r="Z4" s="4" t="s">
        <v>233</v>
      </c>
      <c r="AA4" s="4" t="s">
        <v>245</v>
      </c>
    </row>
    <row r="5" spans="1:27" ht="75">
      <c r="A5" s="4" t="s">
        <v>84</v>
      </c>
      <c r="B5" s="4" t="s">
        <v>78</v>
      </c>
      <c r="C5" s="11">
        <v>46283.540236458335</v>
      </c>
      <c r="D5" s="4" t="s">
        <v>223</v>
      </c>
      <c r="E5" s="4" t="s">
        <v>224</v>
      </c>
      <c r="F5" s="4" t="s">
        <v>225</v>
      </c>
      <c r="G5" s="4" t="s">
        <v>227</v>
      </c>
      <c r="H5" s="4" t="s">
        <v>227</v>
      </c>
      <c r="I5" s="4" t="s">
        <v>226</v>
      </c>
      <c r="J5" s="4" t="s">
        <v>226</v>
      </c>
      <c r="K5" s="4" t="s">
        <v>229</v>
      </c>
      <c r="L5" s="4" t="s">
        <v>230</v>
      </c>
      <c r="M5" s="4" t="s">
        <v>231</v>
      </c>
      <c r="N5" s="4" t="s">
        <v>232</v>
      </c>
      <c r="O5" s="4" t="s">
        <v>235</v>
      </c>
      <c r="P5" s="4" t="s">
        <v>235</v>
      </c>
      <c r="Q5" s="4" t="s">
        <v>235</v>
      </c>
      <c r="R5" s="4" t="s">
        <v>233</v>
      </c>
      <c r="S5" s="4" t="s">
        <v>234</v>
      </c>
      <c r="T5" s="4" t="s">
        <v>234</v>
      </c>
      <c r="U5" s="4" t="s">
        <v>233</v>
      </c>
      <c r="V5" s="4" t="s">
        <v>246</v>
      </c>
      <c r="W5" s="4" t="s">
        <v>235</v>
      </c>
      <c r="X5" s="4" t="s">
        <v>235</v>
      </c>
      <c r="Y5" s="4" t="s">
        <v>235</v>
      </c>
      <c r="Z5" s="4" t="s">
        <v>235</v>
      </c>
      <c r="AA5" s="4" t="s">
        <v>247</v>
      </c>
    </row>
    <row r="6" spans="1:27" ht="75">
      <c r="A6" s="4" t="s">
        <v>85</v>
      </c>
      <c r="B6" s="4" t="s">
        <v>78</v>
      </c>
      <c r="C6" s="11">
        <v>46281.46496646991</v>
      </c>
      <c r="D6" s="4" t="s">
        <v>248</v>
      </c>
      <c r="E6" s="4" t="s">
        <v>224</v>
      </c>
      <c r="F6" s="4" t="s">
        <v>225</v>
      </c>
      <c r="G6" s="4" t="s">
        <v>228</v>
      </c>
      <c r="H6" s="4" t="s">
        <v>228</v>
      </c>
      <c r="I6" s="4" t="s">
        <v>228</v>
      </c>
      <c r="J6" s="4" t="s">
        <v>228</v>
      </c>
      <c r="K6" s="4" t="s">
        <v>239</v>
      </c>
      <c r="L6" s="4" t="s">
        <v>240</v>
      </c>
      <c r="M6" s="4" t="s">
        <v>249</v>
      </c>
      <c r="N6" s="4" t="s">
        <v>232</v>
      </c>
      <c r="O6" s="4" t="s">
        <v>233</v>
      </c>
      <c r="P6" s="4" t="s">
        <v>233</v>
      </c>
      <c r="Q6" s="4" t="s">
        <v>235</v>
      </c>
      <c r="R6" s="4" t="s">
        <v>235</v>
      </c>
      <c r="S6" s="4" t="s">
        <v>233</v>
      </c>
      <c r="T6" s="4" t="s">
        <v>234</v>
      </c>
      <c r="U6" s="4" t="s">
        <v>233</v>
      </c>
      <c r="V6" s="4" t="s">
        <v>250</v>
      </c>
      <c r="W6" s="4" t="s">
        <v>235</v>
      </c>
      <c r="X6" s="4" t="s">
        <v>235</v>
      </c>
      <c r="Y6" s="4" t="s">
        <v>235</v>
      </c>
      <c r="Z6" s="4" t="s">
        <v>235</v>
      </c>
      <c r="AA6" s="4"/>
    </row>
    <row r="7" spans="1:27" ht="60">
      <c r="A7" s="4" t="s">
        <v>86</v>
      </c>
      <c r="B7" s="4" t="s">
        <v>82</v>
      </c>
      <c r="C7" s="11">
        <v>46293.700195335652</v>
      </c>
      <c r="D7" s="4" t="s">
        <v>251</v>
      </c>
      <c r="E7" s="4" t="s">
        <v>224</v>
      </c>
      <c r="F7" s="4" t="s">
        <v>225</v>
      </c>
      <c r="G7" s="4" t="s">
        <v>227</v>
      </c>
      <c r="H7" s="4" t="s">
        <v>227</v>
      </c>
      <c r="I7" s="4" t="s">
        <v>239</v>
      </c>
      <c r="J7" s="4" t="s">
        <v>227</v>
      </c>
      <c r="K7" s="4" t="s">
        <v>227</v>
      </c>
      <c r="L7" s="4" t="s">
        <v>230</v>
      </c>
      <c r="M7" s="4" t="s">
        <v>231</v>
      </c>
      <c r="N7" s="4" t="s">
        <v>252</v>
      </c>
      <c r="O7" s="4" t="s">
        <v>233</v>
      </c>
      <c r="P7" s="4" t="s">
        <v>234</v>
      </c>
      <c r="Q7" s="4" t="s">
        <v>234</v>
      </c>
      <c r="R7" s="4" t="s">
        <v>244</v>
      </c>
      <c r="S7" s="4" t="s">
        <v>233</v>
      </c>
      <c r="T7" s="4" t="s">
        <v>233</v>
      </c>
      <c r="U7" s="4" t="s">
        <v>244</v>
      </c>
      <c r="V7" s="4" t="s">
        <v>236</v>
      </c>
      <c r="W7" s="4" t="s">
        <v>233</v>
      </c>
      <c r="X7" s="4" t="s">
        <v>233</v>
      </c>
      <c r="Y7" s="4" t="s">
        <v>233</v>
      </c>
      <c r="Z7" s="4" t="s">
        <v>233</v>
      </c>
      <c r="AA7" s="4" t="s">
        <v>253</v>
      </c>
    </row>
    <row r="8" spans="1:27" ht="60">
      <c r="A8" s="4" t="s">
        <v>87</v>
      </c>
      <c r="B8" s="4" t="s">
        <v>78</v>
      </c>
      <c r="C8" s="11">
        <v>46285.347016006941</v>
      </c>
      <c r="D8" s="4" t="s">
        <v>248</v>
      </c>
      <c r="E8" s="4" t="s">
        <v>254</v>
      </c>
      <c r="F8" s="4" t="s">
        <v>225</v>
      </c>
      <c r="G8" s="4" t="s">
        <v>228</v>
      </c>
      <c r="H8" s="4" t="s">
        <v>229</v>
      </c>
      <c r="I8" s="4" t="s">
        <v>228</v>
      </c>
      <c r="J8" s="4" t="s">
        <v>228</v>
      </c>
      <c r="K8" s="4" t="s">
        <v>229</v>
      </c>
      <c r="L8" s="4" t="s">
        <v>240</v>
      </c>
      <c r="M8" s="4" t="s">
        <v>249</v>
      </c>
      <c r="N8" s="4" t="s">
        <v>241</v>
      </c>
      <c r="O8" s="4" t="s">
        <v>233</v>
      </c>
      <c r="P8" s="4" t="s">
        <v>235</v>
      </c>
      <c r="Q8" s="4" t="s">
        <v>235</v>
      </c>
      <c r="R8" s="4" t="s">
        <v>233</v>
      </c>
      <c r="S8" s="4" t="s">
        <v>235</v>
      </c>
      <c r="T8" s="4" t="s">
        <v>233</v>
      </c>
      <c r="U8" s="4" t="s">
        <v>233</v>
      </c>
      <c r="V8" s="4" t="s">
        <v>246</v>
      </c>
      <c r="W8" s="4" t="s">
        <v>233</v>
      </c>
      <c r="X8" s="4" t="s">
        <v>233</v>
      </c>
      <c r="Y8" s="4" t="s">
        <v>233</v>
      </c>
      <c r="Z8" s="4" t="s">
        <v>233</v>
      </c>
      <c r="AA8" s="4"/>
    </row>
    <row r="9" spans="1:27" ht="60">
      <c r="A9" s="4" t="s">
        <v>88</v>
      </c>
      <c r="B9" s="4" t="s">
        <v>82</v>
      </c>
      <c r="C9" s="11">
        <v>46293.736655231478</v>
      </c>
      <c r="D9" s="4" t="s">
        <v>223</v>
      </c>
      <c r="E9" s="4" t="s">
        <v>224</v>
      </c>
      <c r="F9" s="4" t="s">
        <v>255</v>
      </c>
      <c r="G9" s="4" t="s">
        <v>229</v>
      </c>
      <c r="H9" s="4" t="s">
        <v>239</v>
      </c>
      <c r="I9" s="4" t="s">
        <v>229</v>
      </c>
      <c r="J9" s="4" t="s">
        <v>229</v>
      </c>
      <c r="K9" s="4" t="s">
        <v>239</v>
      </c>
      <c r="L9" s="4" t="s">
        <v>240</v>
      </c>
      <c r="M9" s="4" t="s">
        <v>256</v>
      </c>
      <c r="N9" s="4" t="s">
        <v>252</v>
      </c>
      <c r="O9" s="4" t="s">
        <v>234</v>
      </c>
      <c r="P9" s="4" t="s">
        <v>233</v>
      </c>
      <c r="Q9" s="4" t="s">
        <v>244</v>
      </c>
      <c r="R9" s="4" t="s">
        <v>234</v>
      </c>
      <c r="S9" s="4" t="s">
        <v>235</v>
      </c>
      <c r="T9" s="4" t="s">
        <v>235</v>
      </c>
      <c r="U9" s="4" t="s">
        <v>235</v>
      </c>
      <c r="V9" s="4" t="s">
        <v>246</v>
      </c>
      <c r="W9" s="4" t="s">
        <v>233</v>
      </c>
      <c r="X9" s="4" t="s">
        <v>234</v>
      </c>
      <c r="Y9" s="4" t="s">
        <v>233</v>
      </c>
      <c r="Z9" s="4" t="s">
        <v>233</v>
      </c>
      <c r="AA9" s="4" t="s">
        <v>257</v>
      </c>
    </row>
    <row r="10" spans="1:27" ht="60">
      <c r="A10" s="4" t="s">
        <v>89</v>
      </c>
      <c r="B10" s="4" t="s">
        <v>78</v>
      </c>
      <c r="C10" s="11">
        <v>46283.66471597222</v>
      </c>
      <c r="D10" s="4" t="s">
        <v>258</v>
      </c>
      <c r="E10" s="4" t="s">
        <v>254</v>
      </c>
      <c r="F10" s="4" t="s">
        <v>259</v>
      </c>
      <c r="G10" s="4" t="s">
        <v>228</v>
      </c>
      <c r="H10" s="4" t="s">
        <v>239</v>
      </c>
      <c r="I10" s="4" t="s">
        <v>239</v>
      </c>
      <c r="J10" s="4" t="s">
        <v>239</v>
      </c>
      <c r="K10" s="4" t="s">
        <v>228</v>
      </c>
      <c r="L10" s="4" t="s">
        <v>240</v>
      </c>
      <c r="M10" s="4" t="s">
        <v>231</v>
      </c>
      <c r="N10" s="4" t="s">
        <v>241</v>
      </c>
      <c r="O10" s="4" t="s">
        <v>235</v>
      </c>
      <c r="P10" s="4" t="s">
        <v>235</v>
      </c>
      <c r="Q10" s="4" t="s">
        <v>235</v>
      </c>
      <c r="R10" s="4" t="s">
        <v>235</v>
      </c>
      <c r="S10" s="4" t="s">
        <v>235</v>
      </c>
      <c r="T10" s="4" t="s">
        <v>235</v>
      </c>
      <c r="U10" s="4" t="s">
        <v>235</v>
      </c>
      <c r="V10" s="4" t="s">
        <v>242</v>
      </c>
      <c r="W10" s="4" t="s">
        <v>235</v>
      </c>
      <c r="X10" s="4" t="s">
        <v>235</v>
      </c>
      <c r="Y10" s="4" t="s">
        <v>235</v>
      </c>
      <c r="Z10" s="4" t="s">
        <v>235</v>
      </c>
      <c r="AA10" s="4" t="s">
        <v>260</v>
      </c>
    </row>
    <row r="11" spans="1:27" ht="105">
      <c r="A11" s="4" t="s">
        <v>90</v>
      </c>
      <c r="B11" s="4" t="s">
        <v>82</v>
      </c>
      <c r="C11" s="11">
        <v>46293.736280335652</v>
      </c>
      <c r="D11" s="4" t="s">
        <v>223</v>
      </c>
      <c r="E11" s="4" t="s">
        <v>224</v>
      </c>
      <c r="F11" s="4" t="s">
        <v>225</v>
      </c>
      <c r="G11" s="4" t="s">
        <v>227</v>
      </c>
      <c r="H11" s="4" t="s">
        <v>226</v>
      </c>
      <c r="I11" s="4" t="s">
        <v>227</v>
      </c>
      <c r="J11" s="4" t="s">
        <v>226</v>
      </c>
      <c r="K11" s="4" t="s">
        <v>227</v>
      </c>
      <c r="L11" s="4" t="s">
        <v>230</v>
      </c>
      <c r="M11" s="4" t="s">
        <v>231</v>
      </c>
      <c r="N11" s="4" t="s">
        <v>252</v>
      </c>
      <c r="O11" s="4" t="s">
        <v>233</v>
      </c>
      <c r="P11" s="4" t="s">
        <v>235</v>
      </c>
      <c r="Q11" s="4" t="s">
        <v>233</v>
      </c>
      <c r="R11" s="4" t="s">
        <v>233</v>
      </c>
      <c r="S11" s="4" t="s">
        <v>235</v>
      </c>
      <c r="T11" s="4" t="s">
        <v>234</v>
      </c>
      <c r="U11" s="4" t="s">
        <v>233</v>
      </c>
      <c r="V11" s="4" t="s">
        <v>236</v>
      </c>
      <c r="W11" s="4" t="s">
        <v>233</v>
      </c>
      <c r="X11" s="4" t="s">
        <v>235</v>
      </c>
      <c r="Y11" s="4" t="s">
        <v>235</v>
      </c>
      <c r="Z11" s="4" t="s">
        <v>233</v>
      </c>
      <c r="AA11" s="4" t="s">
        <v>261</v>
      </c>
    </row>
    <row r="12" spans="1:27" ht="75">
      <c r="A12" s="4" t="s">
        <v>91</v>
      </c>
      <c r="B12" s="4" t="s">
        <v>78</v>
      </c>
      <c r="C12" s="11">
        <v>46282.639230428242</v>
      </c>
      <c r="D12" s="4" t="s">
        <v>238</v>
      </c>
      <c r="E12" s="4" t="s">
        <v>224</v>
      </c>
      <c r="F12" s="4" t="s">
        <v>225</v>
      </c>
      <c r="G12" s="4" t="s">
        <v>227</v>
      </c>
      <c r="H12" s="4" t="s">
        <v>226</v>
      </c>
      <c r="I12" s="4" t="s">
        <v>229</v>
      </c>
      <c r="J12" s="4" t="s">
        <v>229</v>
      </c>
      <c r="K12" s="4" t="s">
        <v>239</v>
      </c>
      <c r="L12" s="4" t="s">
        <v>230</v>
      </c>
      <c r="M12" s="4" t="s">
        <v>231</v>
      </c>
      <c r="N12" s="4" t="s">
        <v>232</v>
      </c>
      <c r="O12" s="4" t="s">
        <v>235</v>
      </c>
      <c r="P12" s="4" t="s">
        <v>234</v>
      </c>
      <c r="Q12" s="4" t="s">
        <v>233</v>
      </c>
      <c r="R12" s="4" t="s">
        <v>233</v>
      </c>
      <c r="S12" s="4" t="s">
        <v>234</v>
      </c>
      <c r="T12" s="4" t="s">
        <v>235</v>
      </c>
      <c r="U12" s="4" t="s">
        <v>234</v>
      </c>
      <c r="V12" s="4" t="s">
        <v>236</v>
      </c>
      <c r="W12" s="4" t="s">
        <v>233</v>
      </c>
      <c r="X12" s="4" t="s">
        <v>235</v>
      </c>
      <c r="Y12" s="4" t="s">
        <v>235</v>
      </c>
      <c r="Z12" s="4" t="s">
        <v>235</v>
      </c>
      <c r="AA12" s="4" t="s">
        <v>262</v>
      </c>
    </row>
    <row r="13" spans="1:27" ht="135">
      <c r="A13" s="4" t="s">
        <v>92</v>
      </c>
      <c r="B13" s="4" t="s">
        <v>82</v>
      </c>
      <c r="C13" s="11">
        <v>46293.719436874999</v>
      </c>
      <c r="D13" s="4" t="s">
        <v>223</v>
      </c>
      <c r="E13" s="4" t="s">
        <v>263</v>
      </c>
      <c r="F13" s="4" t="s">
        <v>225</v>
      </c>
      <c r="G13" s="4" t="s">
        <v>228</v>
      </c>
      <c r="H13" s="4" t="s">
        <v>239</v>
      </c>
      <c r="I13" s="4" t="s">
        <v>227</v>
      </c>
      <c r="J13" s="4" t="s">
        <v>229</v>
      </c>
      <c r="K13" s="4" t="s">
        <v>228</v>
      </c>
      <c r="L13" s="4" t="s">
        <v>230</v>
      </c>
      <c r="M13" s="4" t="s">
        <v>243</v>
      </c>
      <c r="N13" s="4" t="s">
        <v>252</v>
      </c>
      <c r="O13" s="4" t="s">
        <v>233</v>
      </c>
      <c r="P13" s="4" t="s">
        <v>233</v>
      </c>
      <c r="Q13" s="4" t="s">
        <v>233</v>
      </c>
      <c r="R13" s="4" t="s">
        <v>234</v>
      </c>
      <c r="S13" s="4" t="s">
        <v>233</v>
      </c>
      <c r="T13" s="4" t="s">
        <v>234</v>
      </c>
      <c r="U13" s="4" t="s">
        <v>233</v>
      </c>
      <c r="V13" s="4" t="s">
        <v>264</v>
      </c>
      <c r="W13" s="4" t="s">
        <v>233</v>
      </c>
      <c r="X13" s="4" t="s">
        <v>233</v>
      </c>
      <c r="Y13" s="4" t="s">
        <v>235</v>
      </c>
      <c r="Z13" s="4" t="s">
        <v>233</v>
      </c>
      <c r="AA13" s="4" t="s">
        <v>265</v>
      </c>
    </row>
    <row r="14" spans="1:27" ht="60">
      <c r="A14" s="4" t="s">
        <v>93</v>
      </c>
      <c r="B14" s="4" t="s">
        <v>82</v>
      </c>
      <c r="C14" s="11">
        <v>46293.741860706017</v>
      </c>
      <c r="D14" s="4" t="s">
        <v>223</v>
      </c>
      <c r="E14" s="4" t="s">
        <v>224</v>
      </c>
      <c r="F14" s="4" t="s">
        <v>225</v>
      </c>
      <c r="G14" s="4" t="s">
        <v>229</v>
      </c>
      <c r="H14" s="4" t="s">
        <v>229</v>
      </c>
      <c r="I14" s="4" t="s">
        <v>228</v>
      </c>
      <c r="J14" s="4" t="s">
        <v>228</v>
      </c>
      <c r="K14" s="4" t="s">
        <v>229</v>
      </c>
      <c r="L14" s="4" t="s">
        <v>240</v>
      </c>
      <c r="M14" s="4" t="s">
        <v>256</v>
      </c>
      <c r="N14" s="4" t="s">
        <v>252</v>
      </c>
      <c r="O14" s="4" t="s">
        <v>233</v>
      </c>
      <c r="P14" s="4" t="s">
        <v>233</v>
      </c>
      <c r="Q14" s="4" t="s">
        <v>233</v>
      </c>
      <c r="R14" s="4" t="s">
        <v>234</v>
      </c>
      <c r="S14" s="4" t="s">
        <v>233</v>
      </c>
      <c r="T14" s="4" t="s">
        <v>233</v>
      </c>
      <c r="U14" s="4" t="s">
        <v>234</v>
      </c>
      <c r="V14" s="4" t="s">
        <v>264</v>
      </c>
      <c r="W14" s="4" t="s">
        <v>235</v>
      </c>
      <c r="X14" s="4" t="s">
        <v>233</v>
      </c>
      <c r="Y14" s="4" t="s">
        <v>235</v>
      </c>
      <c r="Z14" s="4" t="s">
        <v>233</v>
      </c>
      <c r="AA14" s="4" t="s">
        <v>266</v>
      </c>
    </row>
    <row r="15" spans="1:27" ht="75">
      <c r="A15" s="4" t="s">
        <v>94</v>
      </c>
      <c r="B15" s="4" t="s">
        <v>78</v>
      </c>
      <c r="C15" s="11">
        <v>46272.76957971065</v>
      </c>
      <c r="D15" s="4" t="s">
        <v>258</v>
      </c>
      <c r="E15" s="4" t="s">
        <v>224</v>
      </c>
      <c r="F15" s="4" t="s">
        <v>225</v>
      </c>
      <c r="G15" s="4" t="s">
        <v>239</v>
      </c>
      <c r="H15" s="4" t="s">
        <v>227</v>
      </c>
      <c r="I15" s="4" t="s">
        <v>228</v>
      </c>
      <c r="J15" s="4" t="s">
        <v>228</v>
      </c>
      <c r="K15" s="4" t="s">
        <v>228</v>
      </c>
      <c r="L15" s="4" t="s">
        <v>267</v>
      </c>
      <c r="M15" s="4" t="s">
        <v>231</v>
      </c>
      <c r="N15" s="4" t="s">
        <v>232</v>
      </c>
      <c r="O15" s="4" t="s">
        <v>235</v>
      </c>
      <c r="P15" s="4" t="s">
        <v>235</v>
      </c>
      <c r="Q15" s="4" t="s">
        <v>235</v>
      </c>
      <c r="R15" s="4" t="s">
        <v>235</v>
      </c>
      <c r="S15" s="4" t="s">
        <v>233</v>
      </c>
      <c r="T15" s="4" t="s">
        <v>233</v>
      </c>
      <c r="U15" s="4" t="s">
        <v>234</v>
      </c>
      <c r="V15" s="4" t="s">
        <v>242</v>
      </c>
      <c r="W15" s="4" t="s">
        <v>235</v>
      </c>
      <c r="X15" s="4" t="s">
        <v>235</v>
      </c>
      <c r="Y15" s="4" t="s">
        <v>235</v>
      </c>
      <c r="Z15" s="4" t="s">
        <v>235</v>
      </c>
      <c r="AA15" s="4" t="s">
        <v>268</v>
      </c>
    </row>
    <row r="16" spans="1:27" ht="75">
      <c r="A16" s="4" t="s">
        <v>95</v>
      </c>
      <c r="B16" s="4" t="s">
        <v>82</v>
      </c>
      <c r="C16" s="11">
        <v>46293.718558553242</v>
      </c>
      <c r="D16" s="4" t="s">
        <v>251</v>
      </c>
      <c r="E16" s="4" t="s">
        <v>224</v>
      </c>
      <c r="F16" s="4" t="s">
        <v>255</v>
      </c>
      <c r="G16" s="4" t="s">
        <v>239</v>
      </c>
      <c r="H16" s="4" t="s">
        <v>239</v>
      </c>
      <c r="I16" s="4" t="s">
        <v>239</v>
      </c>
      <c r="J16" s="4" t="s">
        <v>229</v>
      </c>
      <c r="K16" s="4" t="s">
        <v>229</v>
      </c>
      <c r="L16" s="4" t="s">
        <v>230</v>
      </c>
      <c r="M16" s="4" t="s">
        <v>256</v>
      </c>
      <c r="N16" s="4" t="s">
        <v>232</v>
      </c>
      <c r="O16" s="4" t="s">
        <v>234</v>
      </c>
      <c r="P16" s="4" t="s">
        <v>234</v>
      </c>
      <c r="Q16" s="4" t="s">
        <v>234</v>
      </c>
      <c r="R16" s="4" t="s">
        <v>234</v>
      </c>
      <c r="S16" s="4" t="s">
        <v>234</v>
      </c>
      <c r="T16" s="4" t="s">
        <v>234</v>
      </c>
      <c r="U16" s="4" t="s">
        <v>244</v>
      </c>
      <c r="V16" s="4" t="s">
        <v>264</v>
      </c>
      <c r="W16" s="4" t="s">
        <v>234</v>
      </c>
      <c r="X16" s="4" t="s">
        <v>234</v>
      </c>
      <c r="Y16" s="4" t="s">
        <v>234</v>
      </c>
      <c r="Z16" s="4" t="s">
        <v>233</v>
      </c>
      <c r="AA16" s="4" t="s">
        <v>269</v>
      </c>
    </row>
    <row r="17" spans="1:27" ht="75">
      <c r="A17" s="4" t="s">
        <v>96</v>
      </c>
      <c r="B17" s="4" t="s">
        <v>82</v>
      </c>
      <c r="C17" s="11">
        <v>46293.710098773146</v>
      </c>
      <c r="D17" s="4" t="s">
        <v>248</v>
      </c>
      <c r="E17" s="4" t="s">
        <v>254</v>
      </c>
      <c r="F17" s="4" t="s">
        <v>225</v>
      </c>
      <c r="G17" s="4" t="s">
        <v>228</v>
      </c>
      <c r="H17" s="4" t="s">
        <v>229</v>
      </c>
      <c r="I17" s="4" t="s">
        <v>228</v>
      </c>
      <c r="J17" s="4" t="s">
        <v>228</v>
      </c>
      <c r="K17" s="4" t="s">
        <v>228</v>
      </c>
      <c r="L17" s="4" t="s">
        <v>240</v>
      </c>
      <c r="M17" s="4" t="s">
        <v>243</v>
      </c>
      <c r="N17" s="4" t="s">
        <v>232</v>
      </c>
      <c r="O17" s="4" t="s">
        <v>233</v>
      </c>
      <c r="P17" s="4" t="s">
        <v>233</v>
      </c>
      <c r="Q17" s="4" t="s">
        <v>233</v>
      </c>
      <c r="R17" s="4" t="s">
        <v>233</v>
      </c>
      <c r="S17" s="4" t="s">
        <v>233</v>
      </c>
      <c r="T17" s="4" t="s">
        <v>233</v>
      </c>
      <c r="U17" s="4" t="s">
        <v>234</v>
      </c>
      <c r="V17" s="4" t="s">
        <v>270</v>
      </c>
      <c r="W17" s="4" t="s">
        <v>233</v>
      </c>
      <c r="X17" s="4" t="s">
        <v>233</v>
      </c>
      <c r="Y17" s="4" t="s">
        <v>233</v>
      </c>
      <c r="Z17" s="4" t="s">
        <v>234</v>
      </c>
      <c r="AA17" s="4" t="s">
        <v>271</v>
      </c>
    </row>
    <row r="18" spans="1:27" ht="75">
      <c r="A18" s="4" t="s">
        <v>97</v>
      </c>
      <c r="B18" s="4" t="s">
        <v>78</v>
      </c>
      <c r="C18" s="11">
        <v>46287.398219074079</v>
      </c>
      <c r="D18" s="4" t="s">
        <v>238</v>
      </c>
      <c r="E18" s="4" t="s">
        <v>263</v>
      </c>
      <c r="F18" s="4" t="s">
        <v>259</v>
      </c>
      <c r="G18" s="4" t="s">
        <v>228</v>
      </c>
      <c r="H18" s="4" t="s">
        <v>239</v>
      </c>
      <c r="I18" s="4" t="s">
        <v>229</v>
      </c>
      <c r="J18" s="4" t="s">
        <v>228</v>
      </c>
      <c r="K18" s="4" t="s">
        <v>239</v>
      </c>
      <c r="L18" s="4" t="s">
        <v>240</v>
      </c>
      <c r="M18" s="4" t="s">
        <v>231</v>
      </c>
      <c r="N18" s="4" t="s">
        <v>232</v>
      </c>
      <c r="O18" s="4" t="s">
        <v>233</v>
      </c>
      <c r="P18" s="4" t="s">
        <v>233</v>
      </c>
      <c r="Q18" s="4" t="s">
        <v>233</v>
      </c>
      <c r="R18" s="4" t="s">
        <v>233</v>
      </c>
      <c r="S18" s="4" t="s">
        <v>233</v>
      </c>
      <c r="T18" s="4" t="s">
        <v>233</v>
      </c>
      <c r="U18" s="4" t="s">
        <v>233</v>
      </c>
      <c r="V18" s="4" t="s">
        <v>264</v>
      </c>
      <c r="W18" s="4" t="s">
        <v>233</v>
      </c>
      <c r="X18" s="4" t="s">
        <v>233</v>
      </c>
      <c r="Y18" s="4" t="s">
        <v>235</v>
      </c>
      <c r="Z18" s="4" t="s">
        <v>235</v>
      </c>
      <c r="AA18" s="4"/>
    </row>
    <row r="19" spans="1:27" ht="75">
      <c r="A19" s="4" t="s">
        <v>98</v>
      </c>
      <c r="B19" s="4" t="s">
        <v>78</v>
      </c>
      <c r="C19" s="11">
        <v>46283.786648912035</v>
      </c>
      <c r="D19" s="4" t="s">
        <v>258</v>
      </c>
      <c r="E19" s="4" t="s">
        <v>224</v>
      </c>
      <c r="F19" s="4" t="s">
        <v>225</v>
      </c>
      <c r="G19" s="4" t="s">
        <v>239</v>
      </c>
      <c r="H19" s="4" t="s">
        <v>227</v>
      </c>
      <c r="I19" s="4" t="s">
        <v>239</v>
      </c>
      <c r="J19" s="4" t="s">
        <v>227</v>
      </c>
      <c r="K19" s="4" t="s">
        <v>239</v>
      </c>
      <c r="L19" s="4" t="s">
        <v>240</v>
      </c>
      <c r="M19" s="4" t="s">
        <v>231</v>
      </c>
      <c r="N19" s="4" t="s">
        <v>232</v>
      </c>
      <c r="O19" s="4" t="s">
        <v>235</v>
      </c>
      <c r="P19" s="4" t="s">
        <v>235</v>
      </c>
      <c r="Q19" s="4" t="s">
        <v>235</v>
      </c>
      <c r="R19" s="4" t="s">
        <v>235</v>
      </c>
      <c r="S19" s="4" t="s">
        <v>233</v>
      </c>
      <c r="T19" s="4" t="s">
        <v>233</v>
      </c>
      <c r="U19" s="4" t="s">
        <v>235</v>
      </c>
      <c r="V19" s="4" t="s">
        <v>242</v>
      </c>
      <c r="W19" s="4" t="s">
        <v>235</v>
      </c>
      <c r="X19" s="4" t="s">
        <v>235</v>
      </c>
      <c r="Y19" s="4" t="s">
        <v>235</v>
      </c>
      <c r="Z19" s="4" t="s">
        <v>235</v>
      </c>
      <c r="AA19" s="4"/>
    </row>
    <row r="20" spans="1:27" ht="75">
      <c r="A20" s="4" t="s">
        <v>99</v>
      </c>
      <c r="B20" s="4" t="s">
        <v>82</v>
      </c>
      <c r="C20" s="11">
        <v>46293.702519837963</v>
      </c>
      <c r="D20" s="4" t="s">
        <v>248</v>
      </c>
      <c r="E20" s="4" t="s">
        <v>254</v>
      </c>
      <c r="F20" s="4" t="s">
        <v>255</v>
      </c>
      <c r="G20" s="4" t="s">
        <v>228</v>
      </c>
      <c r="H20" s="4" t="s">
        <v>229</v>
      </c>
      <c r="I20" s="4" t="s">
        <v>228</v>
      </c>
      <c r="J20" s="4" t="s">
        <v>229</v>
      </c>
      <c r="K20" s="4" t="s">
        <v>229</v>
      </c>
      <c r="L20" s="4" t="s">
        <v>240</v>
      </c>
      <c r="M20" s="4" t="s">
        <v>231</v>
      </c>
      <c r="N20" s="4" t="s">
        <v>232</v>
      </c>
      <c r="O20" s="4" t="s">
        <v>233</v>
      </c>
      <c r="P20" s="4" t="s">
        <v>234</v>
      </c>
      <c r="Q20" s="4" t="s">
        <v>233</v>
      </c>
      <c r="R20" s="4" t="s">
        <v>233</v>
      </c>
      <c r="S20" s="4" t="s">
        <v>233</v>
      </c>
      <c r="T20" s="4" t="s">
        <v>233</v>
      </c>
      <c r="U20" s="4" t="s">
        <v>234</v>
      </c>
      <c r="V20" s="4" t="s">
        <v>264</v>
      </c>
      <c r="W20" s="4" t="s">
        <v>233</v>
      </c>
      <c r="X20" s="4" t="s">
        <v>233</v>
      </c>
      <c r="Y20" s="4" t="s">
        <v>235</v>
      </c>
      <c r="Z20" s="4" t="s">
        <v>233</v>
      </c>
      <c r="AA20" s="4" t="s">
        <v>272</v>
      </c>
    </row>
    <row r="21" spans="1:27" ht="60">
      <c r="A21" s="4" t="s">
        <v>100</v>
      </c>
      <c r="B21" s="4" t="s">
        <v>82</v>
      </c>
      <c r="C21" s="11">
        <v>46293.714136249997</v>
      </c>
      <c r="D21" s="4" t="s">
        <v>251</v>
      </c>
      <c r="E21" s="4" t="s">
        <v>273</v>
      </c>
      <c r="F21" s="4" t="s">
        <v>274</v>
      </c>
      <c r="G21" s="4" t="s">
        <v>228</v>
      </c>
      <c r="H21" s="4" t="s">
        <v>228</v>
      </c>
      <c r="I21" s="4" t="s">
        <v>228</v>
      </c>
      <c r="J21" s="4" t="s">
        <v>228</v>
      </c>
      <c r="K21" s="4" t="s">
        <v>239</v>
      </c>
      <c r="L21" s="4" t="s">
        <v>240</v>
      </c>
      <c r="M21" s="4" t="s">
        <v>231</v>
      </c>
      <c r="N21" s="4" t="s">
        <v>252</v>
      </c>
      <c r="O21" s="4" t="s">
        <v>233</v>
      </c>
      <c r="P21" s="4" t="s">
        <v>234</v>
      </c>
      <c r="Q21" s="4" t="s">
        <v>235</v>
      </c>
      <c r="R21" s="4" t="s">
        <v>233</v>
      </c>
      <c r="S21" s="4" t="s">
        <v>233</v>
      </c>
      <c r="T21" s="4" t="s">
        <v>234</v>
      </c>
      <c r="U21" s="4" t="s">
        <v>234</v>
      </c>
      <c r="V21" s="4" t="s">
        <v>270</v>
      </c>
      <c r="W21" s="4" t="s">
        <v>234</v>
      </c>
      <c r="X21" s="4" t="s">
        <v>233</v>
      </c>
      <c r="Y21" s="4" t="s">
        <v>233</v>
      </c>
      <c r="Z21" s="4" t="s">
        <v>233</v>
      </c>
      <c r="AA21" s="4" t="s">
        <v>275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9</vt:i4>
      </vt:variant>
    </vt:vector>
  </HeadingPairs>
  <TitlesOfParts>
    <vt:vector size="9" baseType="lpstr">
      <vt:lpstr>README</vt:lpstr>
      <vt:lpstr>Rubrics</vt:lpstr>
      <vt:lpstr>Participant Map</vt:lpstr>
      <vt:lpstr>Auto Scores</vt:lpstr>
      <vt:lpstr>T2 Scoring</vt:lpstr>
      <vt:lpstr>T3B Scoring</vt:lpstr>
      <vt:lpstr>T4.1 Scoring</vt:lpstr>
      <vt:lpstr>T4.2 Scoring</vt:lpstr>
      <vt:lpstr>Background &amp; Feedback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Alberto Tagliaferro</cp:lastModifiedBy>
  <dcterms:modified xsi:type="dcterms:W3CDTF">2026-09-30T19:32:16Z</dcterms:modified>
</cp:coreProperties>
</file>